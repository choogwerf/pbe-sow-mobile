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" documentId="11_22F3C5ACAD729563551EE1C4C7E3F43B3345D021" xr6:coauthVersionLast="47" xr6:coauthVersionMax="47" xr10:uidLastSave="{0A051C1A-F9DD-4C1E-B2DA-152B083292F0}"/>
  <bookViews>
    <workbookView xWindow="13695" yWindow="-16320" windowWidth="29040" windowHeight="15720" xr2:uid="{00000000-000D-0000-FFFF-FFFF00000000}"/>
  </bookViews>
  <sheets>
    <sheet name="SOW Tasks" sheetId="1" r:id="rId1"/>
    <sheet name="Lists" sheetId="2" state="hidden" r:id="rId2"/>
    <sheet name="Daily Log" sheetId="3" r:id="rId3"/>
    <sheet name="Dashboard" sheetId="4" r:id="rId4"/>
  </sheets>
  <definedNames>
    <definedName name="_xlnm.Print_Titles" localSheetId="0">'SOW Tasks'!$1:$13</definedName>
    <definedName name="TechnicianList">_xlfn.ANCHORARRAY(Lists!$B$13)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B20" i="4"/>
  <c r="B19" i="4"/>
  <c r="B18" i="4"/>
  <c r="B17" i="4"/>
  <c r="A12" i="4"/>
  <c r="K8" i="4"/>
  <c r="F8" i="4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B13" i="2" a="1"/>
  <c r="B13" i="2"/>
  <c r="M213" i="1"/>
  <c r="J213" i="1"/>
  <c r="A213" i="1"/>
  <c r="N213" i="1" s="1"/>
  <c r="M212" i="1"/>
  <c r="J212" i="1"/>
  <c r="A212" i="1"/>
  <c r="N212" i="1" s="1"/>
  <c r="M211" i="1"/>
  <c r="J211" i="1"/>
  <c r="A211" i="1"/>
  <c r="N211" i="1" s="1"/>
  <c r="M210" i="1"/>
  <c r="J210" i="1"/>
  <c r="A210" i="1"/>
  <c r="N210" i="1" s="1"/>
  <c r="M209" i="1"/>
  <c r="J209" i="1"/>
  <c r="A209" i="1"/>
  <c r="N209" i="1" s="1"/>
  <c r="M208" i="1"/>
  <c r="J208" i="1"/>
  <c r="A208" i="1"/>
  <c r="N208" i="1" s="1"/>
  <c r="M207" i="1"/>
  <c r="J207" i="1"/>
  <c r="A207" i="1"/>
  <c r="N207" i="1" s="1"/>
  <c r="M206" i="1"/>
  <c r="J206" i="1"/>
  <c r="A206" i="1"/>
  <c r="N206" i="1" s="1"/>
  <c r="M205" i="1"/>
  <c r="J205" i="1"/>
  <c r="A205" i="1"/>
  <c r="N205" i="1" s="1"/>
  <c r="M204" i="1"/>
  <c r="J204" i="1"/>
  <c r="A204" i="1"/>
  <c r="N204" i="1" s="1"/>
  <c r="M203" i="1"/>
  <c r="J203" i="1"/>
  <c r="A203" i="1"/>
  <c r="N203" i="1" s="1"/>
  <c r="M202" i="1"/>
  <c r="J202" i="1"/>
  <c r="A202" i="1"/>
  <c r="N202" i="1" s="1"/>
  <c r="M201" i="1"/>
  <c r="J201" i="1"/>
  <c r="A201" i="1"/>
  <c r="N201" i="1" s="1"/>
  <c r="M200" i="1"/>
  <c r="J200" i="1"/>
  <c r="A200" i="1"/>
  <c r="N200" i="1" s="1"/>
  <c r="M199" i="1"/>
  <c r="J199" i="1"/>
  <c r="A199" i="1"/>
  <c r="N199" i="1" s="1"/>
  <c r="M198" i="1"/>
  <c r="J198" i="1"/>
  <c r="A198" i="1"/>
  <c r="N198" i="1" s="1"/>
  <c r="M197" i="1"/>
  <c r="J197" i="1"/>
  <c r="A197" i="1"/>
  <c r="N197" i="1" s="1"/>
  <c r="M196" i="1"/>
  <c r="J196" i="1"/>
  <c r="A196" i="1"/>
  <c r="N196" i="1" s="1"/>
  <c r="M195" i="1"/>
  <c r="J195" i="1"/>
  <c r="A195" i="1"/>
  <c r="N195" i="1" s="1"/>
  <c r="M194" i="1"/>
  <c r="J194" i="1"/>
  <c r="A194" i="1"/>
  <c r="N194" i="1" s="1"/>
  <c r="M193" i="1"/>
  <c r="J193" i="1"/>
  <c r="A193" i="1"/>
  <c r="N193" i="1" s="1"/>
  <c r="M192" i="1"/>
  <c r="J192" i="1"/>
  <c r="A192" i="1"/>
  <c r="N192" i="1" s="1"/>
  <c r="M191" i="1"/>
  <c r="J191" i="1"/>
  <c r="A191" i="1"/>
  <c r="N191" i="1" s="1"/>
  <c r="M190" i="1"/>
  <c r="J190" i="1"/>
  <c r="A190" i="1"/>
  <c r="N190" i="1" s="1"/>
  <c r="M189" i="1"/>
  <c r="J189" i="1"/>
  <c r="A189" i="1"/>
  <c r="N189" i="1" s="1"/>
  <c r="M188" i="1"/>
  <c r="J188" i="1"/>
  <c r="A188" i="1"/>
  <c r="N188" i="1" s="1"/>
  <c r="M187" i="1"/>
  <c r="J187" i="1"/>
  <c r="A187" i="1"/>
  <c r="N187" i="1" s="1"/>
  <c r="M186" i="1"/>
  <c r="J186" i="1"/>
  <c r="A186" i="1"/>
  <c r="N186" i="1" s="1"/>
  <c r="M185" i="1"/>
  <c r="J185" i="1"/>
  <c r="A185" i="1"/>
  <c r="N185" i="1" s="1"/>
  <c r="M184" i="1"/>
  <c r="J184" i="1"/>
  <c r="A184" i="1"/>
  <c r="N184" i="1" s="1"/>
  <c r="M183" i="1"/>
  <c r="J183" i="1"/>
  <c r="A183" i="1"/>
  <c r="N183" i="1" s="1"/>
  <c r="M182" i="1"/>
  <c r="J182" i="1"/>
  <c r="A182" i="1"/>
  <c r="N182" i="1" s="1"/>
  <c r="M181" i="1"/>
  <c r="J181" i="1"/>
  <c r="A181" i="1"/>
  <c r="N181" i="1" s="1"/>
  <c r="M180" i="1"/>
  <c r="J180" i="1"/>
  <c r="A180" i="1"/>
  <c r="N180" i="1" s="1"/>
  <c r="M179" i="1"/>
  <c r="J179" i="1"/>
  <c r="A179" i="1"/>
  <c r="N179" i="1" s="1"/>
  <c r="M178" i="1"/>
  <c r="J178" i="1"/>
  <c r="A178" i="1"/>
  <c r="N178" i="1" s="1"/>
  <c r="M177" i="1"/>
  <c r="J177" i="1"/>
  <c r="A177" i="1"/>
  <c r="N177" i="1" s="1"/>
  <c r="M176" i="1"/>
  <c r="J176" i="1"/>
  <c r="A176" i="1"/>
  <c r="N176" i="1" s="1"/>
  <c r="M175" i="1"/>
  <c r="J175" i="1"/>
  <c r="A175" i="1"/>
  <c r="N175" i="1" s="1"/>
  <c r="M174" i="1"/>
  <c r="J174" i="1"/>
  <c r="A174" i="1"/>
  <c r="N174" i="1" s="1"/>
  <c r="M173" i="1"/>
  <c r="J173" i="1"/>
  <c r="A173" i="1"/>
  <c r="N173" i="1" s="1"/>
  <c r="M172" i="1"/>
  <c r="J172" i="1"/>
  <c r="A172" i="1"/>
  <c r="N172" i="1" s="1"/>
  <c r="M171" i="1"/>
  <c r="J171" i="1"/>
  <c r="A171" i="1"/>
  <c r="N171" i="1" s="1"/>
  <c r="M170" i="1"/>
  <c r="J170" i="1"/>
  <c r="A170" i="1"/>
  <c r="N170" i="1" s="1"/>
  <c r="M169" i="1"/>
  <c r="J169" i="1"/>
  <c r="A169" i="1"/>
  <c r="N169" i="1" s="1"/>
  <c r="M168" i="1"/>
  <c r="J168" i="1"/>
  <c r="A168" i="1"/>
  <c r="N168" i="1" s="1"/>
  <c r="M167" i="1"/>
  <c r="J167" i="1"/>
  <c r="A167" i="1"/>
  <c r="N167" i="1" s="1"/>
  <c r="M166" i="1"/>
  <c r="J166" i="1"/>
  <c r="A166" i="1"/>
  <c r="N166" i="1" s="1"/>
  <c r="M165" i="1"/>
  <c r="J165" i="1"/>
  <c r="A165" i="1"/>
  <c r="N165" i="1" s="1"/>
  <c r="M164" i="1"/>
  <c r="J164" i="1"/>
  <c r="A164" i="1"/>
  <c r="N164" i="1" s="1"/>
  <c r="M163" i="1"/>
  <c r="J163" i="1"/>
  <c r="A163" i="1"/>
  <c r="N163" i="1" s="1"/>
  <c r="M162" i="1"/>
  <c r="J162" i="1"/>
  <c r="A162" i="1"/>
  <c r="N162" i="1" s="1"/>
  <c r="M161" i="1"/>
  <c r="J161" i="1"/>
  <c r="A161" i="1"/>
  <c r="N161" i="1" s="1"/>
  <c r="M160" i="1"/>
  <c r="J160" i="1"/>
  <c r="A160" i="1"/>
  <c r="N160" i="1" s="1"/>
  <c r="M159" i="1"/>
  <c r="J159" i="1"/>
  <c r="A159" i="1"/>
  <c r="N159" i="1" s="1"/>
  <c r="M158" i="1"/>
  <c r="J158" i="1"/>
  <c r="A158" i="1"/>
  <c r="N158" i="1" s="1"/>
  <c r="M157" i="1"/>
  <c r="J157" i="1"/>
  <c r="A157" i="1"/>
  <c r="N157" i="1" s="1"/>
  <c r="M156" i="1"/>
  <c r="J156" i="1"/>
  <c r="A156" i="1"/>
  <c r="N156" i="1" s="1"/>
  <c r="M155" i="1"/>
  <c r="J155" i="1"/>
  <c r="A155" i="1"/>
  <c r="N155" i="1" s="1"/>
  <c r="M154" i="1"/>
  <c r="J154" i="1"/>
  <c r="A154" i="1"/>
  <c r="N154" i="1" s="1"/>
  <c r="M153" i="1"/>
  <c r="J153" i="1"/>
  <c r="A153" i="1"/>
  <c r="N153" i="1" s="1"/>
  <c r="M152" i="1"/>
  <c r="J152" i="1"/>
  <c r="A152" i="1"/>
  <c r="N152" i="1" s="1"/>
  <c r="M151" i="1"/>
  <c r="J151" i="1"/>
  <c r="A151" i="1"/>
  <c r="N151" i="1" s="1"/>
  <c r="M150" i="1"/>
  <c r="J150" i="1"/>
  <c r="A150" i="1"/>
  <c r="N150" i="1" s="1"/>
  <c r="M149" i="1"/>
  <c r="J149" i="1"/>
  <c r="A149" i="1"/>
  <c r="N149" i="1" s="1"/>
  <c r="M148" i="1"/>
  <c r="J148" i="1"/>
  <c r="A148" i="1"/>
  <c r="N148" i="1" s="1"/>
  <c r="M147" i="1"/>
  <c r="J147" i="1"/>
  <c r="A147" i="1"/>
  <c r="N147" i="1" s="1"/>
  <c r="M146" i="1"/>
  <c r="J146" i="1"/>
  <c r="A146" i="1"/>
  <c r="N146" i="1" s="1"/>
  <c r="M145" i="1"/>
  <c r="J145" i="1"/>
  <c r="A145" i="1"/>
  <c r="N145" i="1" s="1"/>
  <c r="M144" i="1"/>
  <c r="J144" i="1"/>
  <c r="A144" i="1"/>
  <c r="N144" i="1" s="1"/>
  <c r="M143" i="1"/>
  <c r="J143" i="1"/>
  <c r="A143" i="1"/>
  <c r="N143" i="1" s="1"/>
  <c r="M142" i="1"/>
  <c r="J142" i="1"/>
  <c r="A142" i="1"/>
  <c r="N142" i="1" s="1"/>
  <c r="M141" i="1"/>
  <c r="J141" i="1"/>
  <c r="A141" i="1"/>
  <c r="N141" i="1" s="1"/>
  <c r="M140" i="1"/>
  <c r="J140" i="1"/>
  <c r="A140" i="1"/>
  <c r="N140" i="1" s="1"/>
  <c r="M139" i="1"/>
  <c r="J139" i="1"/>
  <c r="A139" i="1"/>
  <c r="N139" i="1" s="1"/>
  <c r="M138" i="1"/>
  <c r="J138" i="1"/>
  <c r="A138" i="1"/>
  <c r="N138" i="1" s="1"/>
  <c r="M137" i="1"/>
  <c r="J137" i="1"/>
  <c r="A137" i="1"/>
  <c r="N137" i="1" s="1"/>
  <c r="M136" i="1"/>
  <c r="J136" i="1"/>
  <c r="A136" i="1"/>
  <c r="N136" i="1" s="1"/>
  <c r="M135" i="1"/>
  <c r="J135" i="1"/>
  <c r="A135" i="1"/>
  <c r="N135" i="1" s="1"/>
  <c r="M134" i="1"/>
  <c r="J134" i="1"/>
  <c r="A134" i="1"/>
  <c r="N134" i="1" s="1"/>
  <c r="M133" i="1"/>
  <c r="J133" i="1"/>
  <c r="A133" i="1"/>
  <c r="N133" i="1" s="1"/>
  <c r="M132" i="1"/>
  <c r="J132" i="1"/>
  <c r="A132" i="1"/>
  <c r="N132" i="1" s="1"/>
  <c r="M131" i="1"/>
  <c r="J131" i="1"/>
  <c r="A131" i="1"/>
  <c r="N131" i="1" s="1"/>
  <c r="M130" i="1"/>
  <c r="J130" i="1"/>
  <c r="A130" i="1"/>
  <c r="N130" i="1" s="1"/>
  <c r="M129" i="1"/>
  <c r="J129" i="1"/>
  <c r="A129" i="1"/>
  <c r="N129" i="1" s="1"/>
  <c r="M128" i="1"/>
  <c r="J128" i="1"/>
  <c r="A128" i="1"/>
  <c r="N128" i="1" s="1"/>
  <c r="M127" i="1"/>
  <c r="J127" i="1"/>
  <c r="A127" i="1"/>
  <c r="N127" i="1" s="1"/>
  <c r="M126" i="1"/>
  <c r="J126" i="1"/>
  <c r="A126" i="1"/>
  <c r="N126" i="1" s="1"/>
  <c r="M125" i="1"/>
  <c r="J125" i="1"/>
  <c r="A125" i="1"/>
  <c r="N125" i="1" s="1"/>
  <c r="M124" i="1"/>
  <c r="J124" i="1"/>
  <c r="A124" i="1"/>
  <c r="N124" i="1" s="1"/>
  <c r="M123" i="1"/>
  <c r="J123" i="1"/>
  <c r="A123" i="1"/>
  <c r="N123" i="1" s="1"/>
  <c r="M122" i="1"/>
  <c r="J122" i="1"/>
  <c r="A122" i="1"/>
  <c r="N122" i="1" s="1"/>
  <c r="M121" i="1"/>
  <c r="J121" i="1"/>
  <c r="A121" i="1"/>
  <c r="N121" i="1" s="1"/>
  <c r="M120" i="1"/>
  <c r="J120" i="1"/>
  <c r="A120" i="1"/>
  <c r="N120" i="1" s="1"/>
  <c r="M119" i="1"/>
  <c r="J119" i="1"/>
  <c r="A119" i="1"/>
  <c r="N119" i="1" s="1"/>
  <c r="M118" i="1"/>
  <c r="J118" i="1"/>
  <c r="A118" i="1"/>
  <c r="N118" i="1" s="1"/>
  <c r="M117" i="1"/>
  <c r="J117" i="1"/>
  <c r="A117" i="1"/>
  <c r="N117" i="1" s="1"/>
  <c r="M116" i="1"/>
  <c r="J116" i="1"/>
  <c r="A116" i="1"/>
  <c r="N116" i="1" s="1"/>
  <c r="M115" i="1"/>
  <c r="J115" i="1"/>
  <c r="A115" i="1"/>
  <c r="N115" i="1" s="1"/>
  <c r="M114" i="1"/>
  <c r="J114" i="1"/>
  <c r="A114" i="1"/>
  <c r="N114" i="1" s="1"/>
  <c r="M113" i="1"/>
  <c r="J113" i="1"/>
  <c r="A113" i="1"/>
  <c r="N113" i="1" s="1"/>
  <c r="M112" i="1"/>
  <c r="J112" i="1"/>
  <c r="A112" i="1"/>
  <c r="N112" i="1" s="1"/>
  <c r="M111" i="1"/>
  <c r="J111" i="1"/>
  <c r="A111" i="1"/>
  <c r="N111" i="1" s="1"/>
  <c r="M110" i="1"/>
  <c r="J110" i="1"/>
  <c r="A110" i="1"/>
  <c r="N110" i="1" s="1"/>
  <c r="M109" i="1"/>
  <c r="J109" i="1"/>
  <c r="A109" i="1"/>
  <c r="N109" i="1" s="1"/>
  <c r="M108" i="1"/>
  <c r="J108" i="1"/>
  <c r="A108" i="1"/>
  <c r="N108" i="1" s="1"/>
  <c r="M107" i="1"/>
  <c r="J107" i="1"/>
  <c r="A107" i="1"/>
  <c r="N107" i="1" s="1"/>
  <c r="M106" i="1"/>
  <c r="J106" i="1"/>
  <c r="A106" i="1"/>
  <c r="N106" i="1" s="1"/>
  <c r="M105" i="1"/>
  <c r="J105" i="1"/>
  <c r="A105" i="1"/>
  <c r="N105" i="1" s="1"/>
  <c r="M104" i="1"/>
  <c r="J104" i="1"/>
  <c r="A104" i="1"/>
  <c r="N104" i="1" s="1"/>
  <c r="M103" i="1"/>
  <c r="J103" i="1"/>
  <c r="A103" i="1"/>
  <c r="N103" i="1" s="1"/>
  <c r="M102" i="1"/>
  <c r="J102" i="1"/>
  <c r="A102" i="1"/>
  <c r="N102" i="1" s="1"/>
  <c r="M101" i="1"/>
  <c r="J101" i="1"/>
  <c r="A101" i="1"/>
  <c r="N101" i="1" s="1"/>
  <c r="M100" i="1"/>
  <c r="J100" i="1"/>
  <c r="A100" i="1"/>
  <c r="N100" i="1" s="1"/>
  <c r="M99" i="1"/>
  <c r="J99" i="1"/>
  <c r="A99" i="1"/>
  <c r="N99" i="1" s="1"/>
  <c r="M98" i="1"/>
  <c r="J98" i="1"/>
  <c r="A98" i="1"/>
  <c r="N98" i="1" s="1"/>
  <c r="M97" i="1"/>
  <c r="J97" i="1"/>
  <c r="A97" i="1"/>
  <c r="N97" i="1" s="1"/>
  <c r="M96" i="1"/>
  <c r="J96" i="1"/>
  <c r="A96" i="1"/>
  <c r="N96" i="1" s="1"/>
  <c r="M95" i="1"/>
  <c r="J95" i="1"/>
  <c r="A95" i="1"/>
  <c r="N95" i="1" s="1"/>
  <c r="M94" i="1"/>
  <c r="J94" i="1"/>
  <c r="A94" i="1"/>
  <c r="N94" i="1" s="1"/>
  <c r="M93" i="1"/>
  <c r="J93" i="1"/>
  <c r="A93" i="1"/>
  <c r="N93" i="1" s="1"/>
  <c r="M92" i="1"/>
  <c r="J92" i="1"/>
  <c r="A92" i="1"/>
  <c r="N92" i="1" s="1"/>
  <c r="M91" i="1"/>
  <c r="J91" i="1"/>
  <c r="A91" i="1"/>
  <c r="N91" i="1" s="1"/>
  <c r="M90" i="1"/>
  <c r="J90" i="1"/>
  <c r="A90" i="1"/>
  <c r="N90" i="1" s="1"/>
  <c r="M89" i="1"/>
  <c r="J89" i="1"/>
  <c r="A89" i="1"/>
  <c r="N89" i="1" s="1"/>
  <c r="M88" i="1"/>
  <c r="J88" i="1"/>
  <c r="A88" i="1"/>
  <c r="N88" i="1" s="1"/>
  <c r="M87" i="1"/>
  <c r="J87" i="1"/>
  <c r="A87" i="1"/>
  <c r="N87" i="1" s="1"/>
  <c r="M86" i="1"/>
  <c r="J86" i="1"/>
  <c r="A86" i="1"/>
  <c r="N86" i="1" s="1"/>
  <c r="M85" i="1"/>
  <c r="J85" i="1"/>
  <c r="A85" i="1"/>
  <c r="N85" i="1" s="1"/>
  <c r="M84" i="1"/>
  <c r="J84" i="1"/>
  <c r="A84" i="1"/>
  <c r="N84" i="1" s="1"/>
  <c r="M83" i="1"/>
  <c r="J83" i="1"/>
  <c r="A83" i="1"/>
  <c r="N83" i="1" s="1"/>
  <c r="M82" i="1"/>
  <c r="J82" i="1"/>
  <c r="A82" i="1"/>
  <c r="N82" i="1" s="1"/>
  <c r="M81" i="1"/>
  <c r="J81" i="1"/>
  <c r="A81" i="1"/>
  <c r="N81" i="1" s="1"/>
  <c r="M80" i="1"/>
  <c r="J80" i="1"/>
  <c r="A80" i="1"/>
  <c r="N80" i="1" s="1"/>
  <c r="M79" i="1"/>
  <c r="J79" i="1"/>
  <c r="A79" i="1"/>
  <c r="N79" i="1" s="1"/>
  <c r="M78" i="1"/>
  <c r="J78" i="1"/>
  <c r="A78" i="1"/>
  <c r="N78" i="1" s="1"/>
  <c r="M77" i="1"/>
  <c r="J77" i="1"/>
  <c r="A77" i="1"/>
  <c r="N77" i="1" s="1"/>
  <c r="M76" i="1"/>
  <c r="J76" i="1"/>
  <c r="A76" i="1"/>
  <c r="N76" i="1" s="1"/>
  <c r="M75" i="1"/>
  <c r="J75" i="1"/>
  <c r="A75" i="1"/>
  <c r="N75" i="1" s="1"/>
  <c r="M74" i="1"/>
  <c r="J74" i="1"/>
  <c r="A74" i="1"/>
  <c r="N74" i="1" s="1"/>
  <c r="M73" i="1"/>
  <c r="J73" i="1"/>
  <c r="A73" i="1"/>
  <c r="N73" i="1" s="1"/>
  <c r="M72" i="1"/>
  <c r="J72" i="1"/>
  <c r="A72" i="1"/>
  <c r="N72" i="1" s="1"/>
  <c r="M71" i="1"/>
  <c r="J71" i="1"/>
  <c r="A71" i="1"/>
  <c r="N71" i="1" s="1"/>
  <c r="M70" i="1"/>
  <c r="J70" i="1"/>
  <c r="A70" i="1"/>
  <c r="N70" i="1" s="1"/>
  <c r="M69" i="1"/>
  <c r="J69" i="1"/>
  <c r="A69" i="1"/>
  <c r="N69" i="1" s="1"/>
  <c r="M68" i="1"/>
  <c r="J68" i="1"/>
  <c r="A68" i="1"/>
  <c r="N68" i="1" s="1"/>
  <c r="M67" i="1"/>
  <c r="J67" i="1"/>
  <c r="A67" i="1"/>
  <c r="N67" i="1" s="1"/>
  <c r="M66" i="1"/>
  <c r="J66" i="1"/>
  <c r="A66" i="1"/>
  <c r="N66" i="1" s="1"/>
  <c r="M65" i="1"/>
  <c r="J65" i="1"/>
  <c r="A65" i="1"/>
  <c r="N65" i="1" s="1"/>
  <c r="M64" i="1"/>
  <c r="J64" i="1"/>
  <c r="A64" i="1"/>
  <c r="N64" i="1" s="1"/>
  <c r="M63" i="1"/>
  <c r="J63" i="1"/>
  <c r="A63" i="1"/>
  <c r="N63" i="1" s="1"/>
  <c r="M62" i="1"/>
  <c r="J62" i="1"/>
  <c r="A62" i="1"/>
  <c r="N62" i="1" s="1"/>
  <c r="M61" i="1"/>
  <c r="J61" i="1"/>
  <c r="A61" i="1"/>
  <c r="N61" i="1" s="1"/>
  <c r="M60" i="1"/>
  <c r="J60" i="1"/>
  <c r="A60" i="1"/>
  <c r="N60" i="1" s="1"/>
  <c r="M59" i="1"/>
  <c r="J59" i="1"/>
  <c r="A59" i="1"/>
  <c r="N59" i="1" s="1"/>
  <c r="M58" i="1"/>
  <c r="J58" i="1"/>
  <c r="A58" i="1"/>
  <c r="N58" i="1" s="1"/>
  <c r="M57" i="1"/>
  <c r="J57" i="1"/>
  <c r="A57" i="1"/>
  <c r="N57" i="1" s="1"/>
  <c r="M56" i="1"/>
  <c r="J56" i="1"/>
  <c r="A56" i="1"/>
  <c r="N56" i="1" s="1"/>
  <c r="M55" i="1"/>
  <c r="J55" i="1"/>
  <c r="A55" i="1"/>
  <c r="N55" i="1" s="1"/>
  <c r="M54" i="1"/>
  <c r="J54" i="1"/>
  <c r="A54" i="1"/>
  <c r="N54" i="1" s="1"/>
  <c r="M53" i="1"/>
  <c r="J53" i="1"/>
  <c r="A53" i="1"/>
  <c r="N53" i="1" s="1"/>
  <c r="M52" i="1"/>
  <c r="J52" i="1"/>
  <c r="A52" i="1"/>
  <c r="N52" i="1" s="1"/>
  <c r="M51" i="1"/>
  <c r="J51" i="1"/>
  <c r="A51" i="1"/>
  <c r="N51" i="1" s="1"/>
  <c r="M50" i="1"/>
  <c r="J50" i="1"/>
  <c r="A50" i="1"/>
  <c r="N50" i="1" s="1"/>
  <c r="M49" i="1"/>
  <c r="J49" i="1"/>
  <c r="A49" i="1"/>
  <c r="N49" i="1" s="1"/>
  <c r="M48" i="1"/>
  <c r="J48" i="1"/>
  <c r="A48" i="1"/>
  <c r="N48" i="1" s="1"/>
  <c r="M47" i="1"/>
  <c r="J47" i="1"/>
  <c r="A47" i="1"/>
  <c r="N47" i="1" s="1"/>
  <c r="M46" i="1"/>
  <c r="J46" i="1"/>
  <c r="A46" i="1"/>
  <c r="N46" i="1" s="1"/>
  <c r="M45" i="1"/>
  <c r="J45" i="1"/>
  <c r="A45" i="1"/>
  <c r="N45" i="1" s="1"/>
  <c r="M44" i="1"/>
  <c r="J44" i="1"/>
  <c r="A44" i="1"/>
  <c r="N44" i="1" s="1"/>
  <c r="M43" i="1"/>
  <c r="J43" i="1"/>
  <c r="A43" i="1"/>
  <c r="N43" i="1" s="1"/>
  <c r="M42" i="1"/>
  <c r="J42" i="1"/>
  <c r="A42" i="1"/>
  <c r="N42" i="1" s="1"/>
  <c r="M41" i="1"/>
  <c r="J41" i="1"/>
  <c r="A41" i="1"/>
  <c r="N41" i="1" s="1"/>
  <c r="M40" i="1"/>
  <c r="J40" i="1"/>
  <c r="A40" i="1"/>
  <c r="N40" i="1" s="1"/>
  <c r="M39" i="1"/>
  <c r="J39" i="1"/>
  <c r="A39" i="1"/>
  <c r="N39" i="1" s="1"/>
  <c r="M38" i="1"/>
  <c r="J38" i="1"/>
  <c r="A38" i="1"/>
  <c r="N38" i="1" s="1"/>
  <c r="M37" i="1"/>
  <c r="J37" i="1"/>
  <c r="A37" i="1"/>
  <c r="N37" i="1" s="1"/>
  <c r="M36" i="1"/>
  <c r="J36" i="1"/>
  <c r="A36" i="1"/>
  <c r="N36" i="1" s="1"/>
  <c r="M35" i="1"/>
  <c r="J35" i="1"/>
  <c r="A35" i="1"/>
  <c r="N35" i="1" s="1"/>
  <c r="M34" i="1"/>
  <c r="J34" i="1"/>
  <c r="A34" i="1"/>
  <c r="N34" i="1" s="1"/>
  <c r="M33" i="1"/>
  <c r="J33" i="1"/>
  <c r="A33" i="1"/>
  <c r="N33" i="1" s="1"/>
  <c r="M32" i="1"/>
  <c r="J32" i="1"/>
  <c r="A32" i="1"/>
  <c r="N32" i="1" s="1"/>
  <c r="M31" i="1"/>
  <c r="J31" i="1"/>
  <c r="A31" i="1"/>
  <c r="N31" i="1" s="1"/>
  <c r="M30" i="1"/>
  <c r="J30" i="1"/>
  <c r="A30" i="1"/>
  <c r="N30" i="1" s="1"/>
  <c r="M29" i="1"/>
  <c r="J29" i="1"/>
  <c r="A29" i="1"/>
  <c r="N29" i="1" s="1"/>
  <c r="M28" i="1"/>
  <c r="J28" i="1"/>
  <c r="A28" i="1"/>
  <c r="N28" i="1" s="1"/>
  <c r="M27" i="1"/>
  <c r="J27" i="1"/>
  <c r="A27" i="1"/>
  <c r="N27" i="1" s="1"/>
  <c r="M26" i="1"/>
  <c r="J26" i="1"/>
  <c r="A26" i="1"/>
  <c r="N26" i="1" s="1"/>
  <c r="M25" i="1"/>
  <c r="J25" i="1"/>
  <c r="A25" i="1"/>
  <c r="N25" i="1" s="1"/>
  <c r="M24" i="1"/>
  <c r="J24" i="1"/>
  <c r="A24" i="1"/>
  <c r="N24" i="1" s="1"/>
  <c r="M23" i="1"/>
  <c r="J23" i="1"/>
  <c r="A23" i="1"/>
  <c r="N23" i="1" s="1"/>
  <c r="M22" i="1"/>
  <c r="J22" i="1"/>
  <c r="A22" i="1"/>
  <c r="N22" i="1" s="1"/>
  <c r="M21" i="1"/>
  <c r="J21" i="1"/>
  <c r="A21" i="1"/>
  <c r="N21" i="1" s="1"/>
  <c r="M20" i="1"/>
  <c r="J20" i="1"/>
  <c r="A20" i="1"/>
  <c r="N20" i="1" s="1"/>
  <c r="M19" i="1"/>
  <c r="J19" i="1"/>
  <c r="A19" i="1"/>
  <c r="N19" i="1" s="1"/>
  <c r="M18" i="1"/>
  <c r="J18" i="1"/>
  <c r="A18" i="1"/>
  <c r="N18" i="1" s="1"/>
  <c r="M17" i="1"/>
  <c r="J17" i="1"/>
  <c r="A17" i="1"/>
  <c r="N17" i="1" s="1"/>
  <c r="M16" i="1"/>
  <c r="J16" i="1"/>
  <c r="A16" i="1"/>
  <c r="N16" i="1" s="1"/>
  <c r="M15" i="1"/>
  <c r="J15" i="1"/>
  <c r="A15" i="1"/>
  <c r="N15" i="1" s="1"/>
  <c r="M14" i="1"/>
  <c r="F12" i="4" s="1"/>
  <c r="J14" i="1"/>
  <c r="A14" i="1"/>
  <c r="C1" i="1"/>
  <c r="K12" i="4" l="1"/>
  <c r="A8" i="4"/>
  <c r="N14" i="1"/>
  <c r="B15" i="2" a="1"/>
  <c r="B15" i="2"/>
</calcChain>
</file>

<file path=xl/sharedStrings.xml><?xml version="1.0" encoding="utf-8"?>
<sst xmlns="http://schemas.openxmlformats.org/spreadsheetml/2006/main" count="184" uniqueCount="134">
  <si>
    <t>Tracker &amp; sign‑off sheet</t>
  </si>
  <si>
    <t>Project Details</t>
  </si>
  <si>
    <t>General Notes / Preconditions</t>
  </si>
  <si>
    <t>Project</t>
  </si>
  <si>
    <t>CSS092</t>
  </si>
  <si>
    <t>• All works to comply with site WHS, isolation/LOTO and permit requirements.
• Technician to confirm latest drawings/approved configuration before modifications.
• Record pre‑works condition with photos; record any ‘as‑found’ defects as notes/NCRs.
• Provide completion evidence: photos, test results (where applicable), and sign‑off.</t>
  </si>
  <si>
    <t>Client</t>
  </si>
  <si>
    <t>T2D</t>
  </si>
  <si>
    <t>Site / Location</t>
  </si>
  <si>
    <t>Adelaide, Waterloo</t>
  </si>
  <si>
    <t>Work Order / Ref</t>
  </si>
  <si>
    <t>Prepared By</t>
  </si>
  <si>
    <t>Chris H</t>
  </si>
  <si>
    <t>Prepared Date</t>
  </si>
  <si>
    <t>Revision</t>
  </si>
  <si>
    <t>ID</t>
  </si>
  <si>
    <t>Item</t>
  </si>
  <si>
    <t>Task / Scope Description</t>
  </si>
  <si>
    <t>Discipline</t>
  </si>
  <si>
    <t>Priority</t>
  </si>
  <si>
    <t>Dependencies / Permits</t>
  </si>
  <si>
    <t>Acceptance Criteria / Tests</t>
  </si>
  <si>
    <t>Assigned To</t>
  </si>
  <si>
    <t>Status</t>
  </si>
  <si>
    <t>% Complete</t>
  </si>
  <si>
    <t>Planned Start</t>
  </si>
  <si>
    <t>Planned Finish</t>
  </si>
  <si>
    <t>Overdue</t>
  </si>
  <si>
    <t>Actual Hours (from Log)</t>
  </si>
  <si>
    <t>Completion Evidence</t>
  </si>
  <si>
    <t>Shunt Trip Design</t>
  </si>
  <si>
    <t>Review CSS092 Sub 1 shunt trip matrix against drawings and confirm design intent for Q11-1 versus Q11-3 operation.</t>
  </si>
  <si>
    <t>Protection</t>
  </si>
  <si>
    <t>P1 - Critical</t>
  </si>
  <si>
    <t>Issued drawings / schematic review.</t>
  </si>
  <si>
    <t>Engineering confirmation issued that only E-stop should trip Q11-3; transformer-related trips act on Q11-1 only.</t>
  </si>
  <si>
    <t>Mark Constable</t>
  </si>
  <si>
    <t>Complete</t>
  </si>
  <si>
    <t>24/02/2026 Mark confirmed only the E-stop should trip Q11-3 and advised site metering test to confirm any unintended voltage on the Q11-3 shunt coil.</t>
  </si>
  <si>
    <t>Shunt Trip Verification</t>
  </si>
  <si>
    <t>Perform on-site functional test of the shunt trip circuits, meter the Q11-3 shunt coil during temp/arc simulation, and rectify wiring if Q11-3 receives unintended trip voltage.</t>
  </si>
  <si>
    <t>Shutdown / HV access permit; agreed test method; engineer support if rectification is required.</t>
  </si>
  <si>
    <t>Q11-3 remains closed for transformer-related trip simulation and recorded test results show no unintended trip voltage applied to its shunt coil.</t>
  </si>
  <si>
    <t>PBE Technician</t>
  </si>
  <si>
    <t>In Progress</t>
  </si>
  <si>
    <t>Engineering intent confirmed in email, but no searched email showed completed field verification or rectification sign-off.</t>
  </si>
  <si>
    <t>TX Temp Controller</t>
  </si>
  <si>
    <t>Confirm BWD-3K130 transformer temperature controller operation using simulation mode and verify alarm / trip outputs for CSS092.</t>
  </si>
  <si>
    <t>Testing</t>
  </si>
  <si>
    <t>P2 - High</t>
  </si>
  <si>
    <t>Shutdown / HV access and latest controller manual.</t>
  </si>
  <si>
    <t>Simulation proves controller outputs operate correctly and test results are captured.</t>
  </si>
  <si>
    <t>27/02/2026 email set out intended operation and practical test steps, but no returned test record was sighted in the searched emails.</t>
  </si>
  <si>
    <t>Transformer Fan</t>
  </si>
  <si>
    <t>Identify the faulty transformer fan motor / sensor, source a suitable spare or replacement, install it, and prove correct fan operation.</t>
  </si>
  <si>
    <t>Mechanical</t>
  </si>
  <si>
    <t>Shutdown of Sub 1 / batch plant; photos or nameplate details; parts availability.</t>
  </si>
  <si>
    <t>Replacement fan / sensor fitted, fan fault cleared, and fan operation proven under controller output.</t>
  </si>
  <si>
    <t>PBE Workshop</t>
  </si>
  <si>
    <t>24/02/2026 to 05/03/2026 emails show the fan fault was raised, photos / nameplate details were requested, and PBE was looking to use a spare from another sub.</t>
  </si>
  <si>
    <t>Shutdown / Access</t>
  </si>
  <si>
    <t>Coordinate weekend shutdown window, HV access permits, and technician availability for CSS092 fan / controller rectification works.</t>
  </si>
  <si>
    <t>General</t>
  </si>
  <si>
    <t>T2D production window, HV access permit, and technician availability.</t>
  </si>
  <si>
    <t>Shutdown / permit confirmed and technician booked to complete outstanding rectification works.</t>
  </si>
  <si>
    <t>Chris Hoogwerf</t>
  </si>
  <si>
    <t>Blocked</t>
  </si>
  <si>
    <t>05/03/2026 Brendan advised site would be in full production from 16/03/2026 and outstanding works would need to move to weekends.</t>
  </si>
  <si>
    <t>Remote Start Cabling</t>
  </si>
  <si>
    <t>Connect remote start controls into the CSS092 emergency genset and ATS during shutdown.</t>
  </si>
  <si>
    <t>Switchboard</t>
  </si>
  <si>
    <t>Approved shutdown / isolation window.</t>
  </si>
  <si>
    <t>Remote start control cabling terminated and ready for functional testing.</t>
  </si>
  <si>
    <t>James Schaedel / Adelpower</t>
  </si>
  <si>
    <t>10/03/2026 James advised that on Sunday 08/03/2026 the remote start controls were connected into the emergency genset and ATS.</t>
  </si>
  <si>
    <t>Remote Start Configuration</t>
  </si>
  <si>
    <t>Diagnose and configure the CSS092 genset remote start digital input so the genset starts automatically from the ATS / remote input.</t>
  </si>
  <si>
    <t>Laptop / configuration software for genset controller and commissioning window.</t>
  </si>
  <si>
    <t>Genset starts in AUTO from remote / ATS input.</t>
  </si>
  <si>
    <t>10/03/2026 James reported CSS092 would not start from remote input; 11/03/2026 he confirmed the CSS092 genset and ATS were commissioned and functional.</t>
  </si>
  <si>
    <t>ATS/Genset Commissioning</t>
  </si>
  <si>
    <t>Complete CSS092 ATS and emergency genset functional commissioning.</t>
  </si>
  <si>
    <t>Remote start input operational and site available for testing.</t>
  </si>
  <si>
    <t>ATS and genset commissioned and functional.</t>
  </si>
  <si>
    <t>11/03/2026 email from James: CSS092 genset and ATS is now commissioned and functional.</t>
  </si>
  <si>
    <t>Commissioning Closeout</t>
  </si>
  <si>
    <t>Issue CSS092 commissioning closeout documents including SAT, eCoC, photos and test sheets.</t>
  </si>
  <si>
    <t>SAT template and subcontractor closeout package.</t>
  </si>
  <si>
    <t>SAT, eCoC, photos and test sheets issued to PBE / client.</t>
  </si>
  <si>
    <t>10/03/2026 James said eCoC / photos would follow after commissioning; 11/03/2026 he requested the SAT template; no final closeout package was sighted in the searched emails.</t>
  </si>
  <si>
    <t>Door Engineering Letter</t>
  </si>
  <si>
    <t>Prepare and issue an engineering letter covering the as-installed door relocation workaround at CSS092 / associated substation works.</t>
  </si>
  <si>
    <t>Engineer review of the as-installed workaround and supporting design information.</t>
  </si>
  <si>
    <t>Engineering letter issued to T2D for the implemented workaround.</t>
  </si>
  <si>
    <t>Engineering</t>
  </si>
  <si>
    <t>Not Started</t>
  </si>
  <si>
    <t>16/03/2026 Kyle advised the site had already moved the door and requested an engineering letter for the completed works.</t>
  </si>
  <si>
    <t>Generator Plant Induction</t>
  </si>
  <si>
    <t>Arrange T2D plant induction for the two generators associated with CSS092 works.</t>
  </si>
  <si>
    <t>P3 - Medium</t>
  </si>
  <si>
    <t>T2D plant team requirements and generator details / documents.</t>
  </si>
  <si>
    <t>Both generators inducted through the plant team.</t>
  </si>
  <si>
    <t>16/03/2026 Kyle requested that the two generators be plant inducted through the T2D plant team.</t>
  </si>
  <si>
    <t>Validation Lists</t>
  </si>
  <si>
    <t>On Hold</t>
  </si>
  <si>
    <t>P4 - Low</t>
  </si>
  <si>
    <t>Area</t>
  </si>
  <si>
    <t>Substation - MV</t>
  </si>
  <si>
    <t>Substation - LV</t>
  </si>
  <si>
    <t>HVDB0071</t>
  </si>
  <si>
    <t>Doors / Enclosure</t>
  </si>
  <si>
    <t>Panels</t>
  </si>
  <si>
    <t>Other</t>
  </si>
  <si>
    <t>YesNo</t>
  </si>
  <si>
    <t>Yes</t>
  </si>
  <si>
    <t>No</t>
  </si>
  <si>
    <t>Technicians</t>
  </si>
  <si>
    <t>TaskIDs</t>
  </si>
  <si>
    <t>Technician Daily Log</t>
  </si>
  <si>
    <t>Use this to capture daily hours; SOW pulls totals automatically.</t>
  </si>
  <si>
    <t>Date</t>
  </si>
  <si>
    <t>Technician</t>
  </si>
  <si>
    <t>Task ID</t>
  </si>
  <si>
    <t>Task Summary</t>
  </si>
  <si>
    <t>Hours</t>
  </si>
  <si>
    <t>Work Performed / Notes</t>
  </si>
  <si>
    <t>Client/PM Initials</t>
  </si>
  <si>
    <t>SOW Dashboard</t>
  </si>
  <si>
    <t>At-a-glance progress (driven from SOW Tasks)</t>
  </si>
  <si>
    <t>Progress Summary</t>
  </si>
  <si>
    <t>Total Tasks</t>
  </si>
  <si>
    <t>Blocked / On Hold</t>
  </si>
  <si>
    <t>Overall % Complete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</si>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</sst>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dd/mm/yyyy"/>
  </numFmts>
  <fonts count="14">
    <font>
      <sz val="11"/>
      <color theme="1"/>
      <name val="Calibri"/>
      <family val="2"/>
      <scheme val="minor"/>
    </font>
    <font>
      <b/>
      <sz val="14"/>
      <color rgb="FF201020"/>
      <name val="Calibri"/>
    </font>
    <font>
      <b/>
      <sz val="11"/>
      <color rgb="FF201020"/>
      <name val="Calibri"/>
    </font>
    <font>
      <sz val="11"/>
      <color rgb="FF111827"/>
      <name val="Calibri"/>
    </font>
    <font>
      <b/>
      <sz val="16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sz val="11"/>
      <color rgb="FF1D4ED8"/>
      <name val="Calibri"/>
    </font>
    <font>
      <b/>
      <sz val="11"/>
      <color rgb="FFEF4444"/>
      <name val="Calibri"/>
    </font>
    <font>
      <b/>
      <sz val="20"/>
      <color rgb="FF201020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9F6E3"/>
      </patternFill>
    </fill>
    <fill>
      <patternFill patternType="solid">
        <fgColor rgb="FF201020"/>
      </patternFill>
    </fill>
    <fill>
      <patternFill patternType="solid">
        <fgColor rgb="FF70C040"/>
      </patternFill>
    </fill>
    <fill>
      <patternFill patternType="solid">
        <fgColor rgb="FFF2F4F7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/>
      <top/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9CA3A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5" borderId="1" xfId="0" applyFont="1" applyFill="1" applyBorder="1"/>
    <xf numFmtId="0" fontId="0" fillId="0" borderId="1" xfId="0" applyBorder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0" fontId="6" fillId="3" borderId="1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top" wrapText="1"/>
    </xf>
    <xf numFmtId="164" fontId="3" fillId="0" borderId="12" xfId="0" applyNumberFormat="1" applyFont="1" applyBorder="1" applyAlignment="1">
      <alignment horizontal="center" vertical="center" wrapText="1"/>
    </xf>
    <xf numFmtId="165" fontId="7" fillId="0" borderId="12" xfId="0" applyNumberFormat="1" applyFont="1" applyBorder="1" applyAlignment="1">
      <alignment horizontal="center" vertical="center" wrapText="1"/>
    </xf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0" fillId="9" borderId="0" xfId="0" applyFill="1"/>
    <xf numFmtId="0" fontId="0" fillId="0" borderId="13" xfId="0" applyBorder="1"/>
    <xf numFmtId="0" fontId="0" fillId="0" borderId="14" xfId="0" applyBorder="1" applyAlignment="1">
      <alignment horizontal="right"/>
    </xf>
    <xf numFmtId="165" fontId="0" fillId="0" borderId="14" xfId="0" applyNumberFormat="1" applyBorder="1" applyAlignment="1">
      <alignment horizontal="right"/>
    </xf>
    <xf numFmtId="0" fontId="0" fillId="0" borderId="15" xfId="0" applyBorder="1" applyAlignment="1">
      <alignment horizontal="right"/>
    </xf>
    <xf numFmtId="0" fontId="6" fillId="7" borderId="8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top" wrapText="1"/>
    </xf>
    <xf numFmtId="0" fontId="0" fillId="7" borderId="0" xfId="0" applyFill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4" borderId="0" xfId="0" applyFill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0" fillId="0" borderId="0" xfId="0" applyAlignment="1"/>
    <xf numFmtId="0" fontId="0" fillId="0" borderId="8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4" xfId="0" applyBorder="1" applyAlignment="1"/>
  </cellXfs>
  <cellStyles count="1">
    <cellStyle name="Normal" xfId="0" builtinId="0"/>
  </cellStyles>
  <dxfs count="13">
    <dxf>
      <alignment horizontal="right"/>
      <border>
        <left style="thin">
          <color rgb="FF000000"/>
        </left>
        <right/>
        <vertical style="thin">
          <color rgb="FF000000"/>
        </vertical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70C040"/>
        </patternFill>
      </fill>
      <alignment horizontal="left" vertical="center" wrapText="1"/>
    </dxf>
    <dxf>
      <border>
        <left/>
        <right style="thin">
          <color rgb="FF000000"/>
        </right>
        <vertical style="thin">
          <color rgb="FF000000"/>
        </vertical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70C040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70C040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0" formatCode="General"/>
    </dxf>
    <dxf>
      <fill>
        <patternFill patternType="solid">
          <fgColor indexed="64"/>
          <bgColor rgb="FFCC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CCCC"/>
        </patternFill>
      </fill>
    </dxf>
    <dxf>
      <fill>
        <patternFill>
          <bgColor rgb="FFFEE2E2"/>
        </patternFill>
      </fill>
    </dxf>
    <dxf>
      <fill>
        <patternFill>
          <bgColor rgb="FFFFF7ED"/>
        </patternFill>
      </fill>
    </dxf>
    <dxf>
      <fill>
        <patternFill>
          <bgColor rgb="FFE9F6E3"/>
        </patternFill>
      </fill>
    </dxf>
    <dxf>
      <fill>
        <patternFill>
          <bgColor rgb="FFFFE4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Tasks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Dashboard!$A$17:$A$21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</c:v>
                </c:pt>
                <c:pt idx="3">
                  <c:v>On Hold</c:v>
                </c:pt>
                <c:pt idx="4">
                  <c:v>Blocked</c:v>
                </c:pt>
              </c:strCache>
            </c:strRef>
          </c:cat>
          <c:val>
            <c:numRef>
              <c:f>Dashboard!$B$17:$B$21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8-40E6-AC67-C9DC7BF29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123825</xdr:rowOff>
    </xdr:from>
    <xdr:to>
      <xdr:col>1</xdr:col>
      <xdr:colOff>836295</xdr:colOff>
      <xdr:row>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123825"/>
          <a:ext cx="1577340" cy="6000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104775</xdr:rowOff>
    </xdr:from>
    <xdr:ext cx="1990725" cy="771525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04775"/>
          <a:ext cx="1990725" cy="7715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571498</xdr:colOff>
      <xdr:row>15</xdr:row>
      <xdr:rowOff>59055</xdr:rowOff>
    </xdr:from>
    <xdr:to>
      <xdr:col>13</xdr:col>
      <xdr:colOff>390525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15240</xdr:colOff>
      <xdr:row>0</xdr:row>
      <xdr:rowOff>24765</xdr:rowOff>
    </xdr:from>
    <xdr:ext cx="1990725" cy="771525"/>
    <xdr:pic>
      <xdr:nvPicPr>
        <xdr:cNvPr id="3" name="/xl/media/image3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" y="24765"/>
          <a:ext cx="1990725" cy="7715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WTasks" displayName="SOWTasks" ref="A13:M213">
  <autoFilter ref="A13:M213" xr:uid="{00000000-0009-0000-0100-000001000000}"/>
  <tableColumns count="13">
    <tableColumn id="1" xr3:uid="{00000000-0010-0000-0000-000001000000}" name="ID" dataDxfId="5">
      <calculatedColumnFormula>IF(C14="","",COUNTIF(C$14:C14,"&lt;&gt;"))</calculatedColumnFormula>
    </tableColumn>
    <tableColumn id="2" xr3:uid="{00000000-0010-0000-0000-000002000000}" name="Item"/>
    <tableColumn id="3" xr3:uid="{00000000-0010-0000-0000-000003000000}" name="Task / Scope Description"/>
    <tableColumn id="5" xr3:uid="{00000000-0010-0000-0000-000005000000}" name="Discipline"/>
    <tableColumn id="6" xr3:uid="{00000000-0010-0000-0000-000006000000}" name="Priority"/>
    <tableColumn id="7" xr3:uid="{00000000-0010-0000-0000-000007000000}" name="Dependencies / Permits"/>
    <tableColumn id="8" xr3:uid="{00000000-0010-0000-0000-000008000000}" name="Acceptance Criteria / Tests"/>
    <tableColumn id="9" xr3:uid="{00000000-0010-0000-0000-000009000000}" name="Assigned To"/>
    <tableColumn id="10" xr3:uid="{00000000-0010-0000-0000-00000A000000}" name="Status"/>
    <tableColumn id="11" xr3:uid="{00000000-0010-0000-0000-00000B000000}" name="% Complete"/>
    <tableColumn id="12" xr3:uid="{00000000-0010-0000-0000-00000C000000}" name="Planned Start"/>
    <tableColumn id="13" xr3:uid="{00000000-0010-0000-0000-00000D000000}" name="Planned Finish"/>
    <tableColumn id="14" xr3:uid="{00000000-0010-0000-0000-00000E000000}" name="Overd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7" displayName="Table7" ref="A6:B12" headerRowCount="0" totalsRowShown="0" headerRowDxfId="4">
  <tableColumns count="2">
    <tableColumn id="1" xr3:uid="{00000000-0010-0000-0100-000001000000}" name="Project Details" headerRowDxfId="3" dataDxfId="2"/>
    <tableColumn id="2" xr3:uid="{00000000-0010-0000-0100-000002000000}" name="Column1" headerRowDxfId="1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ilyLog" displayName="DailyLog" ref="A6:G306">
  <autoFilter ref="A6:G306" xr:uid="{00000000-0009-0000-0100-000003000000}"/>
  <tableColumns count="7">
    <tableColumn id="1" xr3:uid="{00000000-0010-0000-0200-000001000000}" name="Date"/>
    <tableColumn id="2" xr3:uid="{00000000-0010-0000-0200-000002000000}" name="Technician"/>
    <tableColumn id="3" xr3:uid="{00000000-0010-0000-0200-000003000000}" name="Task ID"/>
    <tableColumn id="4" xr3:uid="{00000000-0010-0000-0200-000004000000}" name="Task Summary"/>
    <tableColumn id="5" xr3:uid="{00000000-0010-0000-0200-000005000000}" name="Hours"/>
    <tableColumn id="6" xr3:uid="{00000000-0010-0000-0200-000006000000}" name="Work Performed / Notes"/>
    <tableColumn id="7" xr3:uid="{00000000-0010-0000-0200-000007000000}" name="Client/PM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3"/>
  <sheetViews>
    <sheetView showGridLines="0" tabSelected="1" topLeftCell="A12" workbookViewId="0">
      <selection activeCell="D19" sqref="D19"/>
    </sheetView>
  </sheetViews>
  <sheetFormatPr defaultRowHeight="14.45"/>
  <cols>
    <col min="1" max="1" width="16.28515625" customWidth="1"/>
    <col min="2" max="2" width="23.5703125" customWidth="1"/>
    <col min="3" max="3" width="44" customWidth="1"/>
    <col min="4" max="5" width="14" customWidth="1"/>
    <col min="6" max="6" width="22" customWidth="1"/>
    <col min="7" max="7" width="26" customWidth="1"/>
    <col min="8" max="8" width="16" customWidth="1"/>
    <col min="9" max="9" width="14" customWidth="1"/>
    <col min="10" max="10" width="12" customWidth="1"/>
    <col min="11" max="12" width="14" customWidth="1"/>
    <col min="13" max="13" width="10" customWidth="1"/>
    <col min="14" max="14" width="18" customWidth="1"/>
    <col min="15" max="15" width="26" customWidth="1"/>
    <col min="17" max="17" width="16.28515625" bestFit="1" customWidth="1"/>
    <col min="18" max="18" width="23.5703125" bestFit="1" customWidth="1"/>
  </cols>
  <sheetData>
    <row r="1" spans="1:17" ht="33.950000000000003" customHeight="1">
      <c r="B1" s="29"/>
      <c r="C1" s="27" t="str">
        <f>IF(B6="","Technician Scope of Works","Technician Scope of Works - "&amp;B6)</f>
        <v>Technician Scope of Works - CSS092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7" ht="20.100000000000001" customHeight="1">
      <c r="B2" s="30"/>
      <c r="C2" s="28" t="s">
        <v>0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7" ht="6" customHeight="1">
      <c r="B3" s="31"/>
      <c r="C3" s="38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5" spans="1:17" ht="15" customHeight="1">
      <c r="A5" s="36" t="s">
        <v>1</v>
      </c>
      <c r="B5" s="47"/>
      <c r="C5" s="36" t="s">
        <v>2</v>
      </c>
      <c r="D5" s="47"/>
      <c r="E5" s="47"/>
      <c r="F5" s="47"/>
      <c r="G5" s="47"/>
      <c r="H5" s="47"/>
      <c r="I5" s="47"/>
      <c r="J5" s="47"/>
      <c r="K5" s="47"/>
    </row>
    <row r="6" spans="1:17">
      <c r="A6" s="32" t="s">
        <v>3</v>
      </c>
      <c r="B6" s="33" t="s">
        <v>4</v>
      </c>
      <c r="C6" s="37" t="s">
        <v>5</v>
      </c>
      <c r="D6" s="48"/>
      <c r="E6" s="48"/>
      <c r="F6" s="48"/>
      <c r="G6" s="48"/>
      <c r="H6" s="48"/>
      <c r="I6" s="48"/>
      <c r="J6" s="48"/>
      <c r="K6" s="49"/>
    </row>
    <row r="7" spans="1:17">
      <c r="A7" s="32" t="s">
        <v>6</v>
      </c>
      <c r="B7" s="33" t="s">
        <v>7</v>
      </c>
      <c r="C7" s="50"/>
      <c r="D7" s="46"/>
      <c r="E7" s="46"/>
      <c r="F7" s="46"/>
      <c r="G7" s="46"/>
      <c r="H7" s="46"/>
      <c r="I7" s="46"/>
      <c r="J7" s="46"/>
      <c r="K7" s="51"/>
    </row>
    <row r="8" spans="1:17">
      <c r="A8" s="32" t="s">
        <v>8</v>
      </c>
      <c r="B8" s="33" t="s">
        <v>9</v>
      </c>
      <c r="C8" s="50"/>
      <c r="D8" s="46"/>
      <c r="E8" s="46"/>
      <c r="F8" s="46"/>
      <c r="G8" s="46"/>
      <c r="H8" s="46"/>
      <c r="I8" s="46"/>
      <c r="J8" s="46"/>
      <c r="K8" s="51"/>
    </row>
    <row r="9" spans="1:17">
      <c r="A9" s="32" t="s">
        <v>10</v>
      </c>
      <c r="B9" s="33"/>
      <c r="C9" s="50"/>
      <c r="D9" s="46"/>
      <c r="E9" s="46"/>
      <c r="F9" s="46"/>
      <c r="G9" s="46"/>
      <c r="H9" s="46"/>
      <c r="I9" s="46"/>
      <c r="J9" s="46"/>
      <c r="K9" s="51"/>
    </row>
    <row r="10" spans="1:17">
      <c r="A10" s="32" t="s">
        <v>11</v>
      </c>
      <c r="B10" s="33" t="s">
        <v>12</v>
      </c>
      <c r="C10" s="50"/>
      <c r="D10" s="46"/>
      <c r="E10" s="46"/>
      <c r="F10" s="46"/>
      <c r="G10" s="46"/>
      <c r="H10" s="46"/>
      <c r="I10" s="46"/>
      <c r="J10" s="46"/>
      <c r="K10" s="51"/>
    </row>
    <row r="11" spans="1:17">
      <c r="A11" s="32" t="s">
        <v>13</v>
      </c>
      <c r="B11" s="34">
        <v>46097</v>
      </c>
      <c r="C11" s="52"/>
      <c r="D11" s="47"/>
      <c r="E11" s="47"/>
      <c r="F11" s="47"/>
      <c r="G11" s="47"/>
      <c r="H11" s="47"/>
      <c r="I11" s="47"/>
      <c r="J11" s="47"/>
      <c r="K11" s="53"/>
      <c r="Q11" s="17"/>
    </row>
    <row r="12" spans="1:17">
      <c r="A12" s="32" t="s">
        <v>14</v>
      </c>
      <c r="B12" s="35">
        <v>1</v>
      </c>
    </row>
    <row r="13" spans="1:17" ht="27.95" customHeight="1">
      <c r="A13" s="18" t="s">
        <v>15</v>
      </c>
      <c r="B13" s="18" t="s">
        <v>16</v>
      </c>
      <c r="C13" s="18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26" t="s">
        <v>27</v>
      </c>
      <c r="N13" s="1" t="s">
        <v>28</v>
      </c>
      <c r="O13" s="1" t="s">
        <v>29</v>
      </c>
    </row>
    <row r="14" spans="1:17" ht="15" customHeight="1">
      <c r="A14" s="19">
        <f>IF(C14="","",COUNTIF(C$14:C14,"&lt;&gt;"))</f>
        <v>1</v>
      </c>
      <c r="B14" s="2" t="s">
        <v>30</v>
      </c>
      <c r="C14" s="3" t="s">
        <v>31</v>
      </c>
      <c r="D14" s="2" t="s">
        <v>32</v>
      </c>
      <c r="E14" s="2" t="s">
        <v>33</v>
      </c>
      <c r="F14" s="3" t="s">
        <v>34</v>
      </c>
      <c r="G14" s="3" t="s">
        <v>35</v>
      </c>
      <c r="H14" s="2" t="s">
        <v>36</v>
      </c>
      <c r="I14" s="2" t="s">
        <v>37</v>
      </c>
      <c r="J14" s="4">
        <f>IF(I14="Complete",100,IF(I14="In Progress",50,IF(I14="Not Started",0,IF(I14="On Hold",0,IF(I14="Blocked",0,"")))))</f>
        <v>100</v>
      </c>
      <c r="K14" s="5">
        <v>46077</v>
      </c>
      <c r="L14" s="5">
        <v>46077</v>
      </c>
      <c r="M14" s="6" t="str">
        <f ca="1">IF(AND(L14&lt;TODAY(),I14&lt;&gt;"Complete",L14&lt;&gt;""),"YES","")</f>
        <v/>
      </c>
      <c r="N14" s="7">
        <f>IF(A14="","",SUMIF(DailyLog[Task ID],A14,DailyLog[Hours]))</f>
        <v>0</v>
      </c>
      <c r="O14" s="8" t="s">
        <v>38</v>
      </c>
    </row>
    <row r="15" spans="1:17" ht="15" customHeight="1">
      <c r="A15" s="19">
        <f>IF(C15="","",COUNTIF(C$14:C15,"&lt;&gt;"))</f>
        <v>2</v>
      </c>
      <c r="B15" s="2" t="s">
        <v>39</v>
      </c>
      <c r="C15" s="3" t="s">
        <v>40</v>
      </c>
      <c r="D15" s="2" t="s">
        <v>32</v>
      </c>
      <c r="E15" s="2" t="s">
        <v>33</v>
      </c>
      <c r="F15" s="3" t="s">
        <v>41</v>
      </c>
      <c r="G15" s="3" t="s">
        <v>42</v>
      </c>
      <c r="H15" s="2" t="s">
        <v>43</v>
      </c>
      <c r="I15" s="2" t="s">
        <v>44</v>
      </c>
      <c r="J15" s="4">
        <f>IF(I15="Complete",100,IF(I15="In Progress",50,IF(I15="Not Started",0,IF(I15="On Hold",0,IF(I15="Blocked",0,"")))))</f>
        <v>50</v>
      </c>
      <c r="K15" s="5"/>
      <c r="L15" s="5"/>
      <c r="M15" s="6" t="str">
        <f ca="1">IF(AND(L15&lt;TODAY(),I15&lt;&gt;"Complete",L15&lt;&gt;""),"YES","")</f>
        <v/>
      </c>
      <c r="N15" s="7">
        <f>IF(A15="","",SUMIF(DailyLog[Task ID],A15,DailyLog[Hours]))</f>
        <v>0</v>
      </c>
      <c r="O15" s="8" t="s">
        <v>45</v>
      </c>
    </row>
    <row r="16" spans="1:17" ht="15" customHeight="1">
      <c r="A16" s="19">
        <f>IF(C16="","",COUNTIF(C$14:C16,"&lt;&gt;"))</f>
        <v>3</v>
      </c>
      <c r="B16" s="2" t="s">
        <v>46</v>
      </c>
      <c r="C16" s="3" t="s">
        <v>47</v>
      </c>
      <c r="D16" s="2" t="s">
        <v>48</v>
      </c>
      <c r="E16" s="2" t="s">
        <v>49</v>
      </c>
      <c r="F16" s="3" t="s">
        <v>50</v>
      </c>
      <c r="G16" s="3" t="s">
        <v>51</v>
      </c>
      <c r="H16" s="2" t="s">
        <v>43</v>
      </c>
      <c r="I16" s="2" t="s">
        <v>44</v>
      </c>
      <c r="J16" s="4">
        <f>IF(I16="Complete",100,IF(I16="In Progress",50,IF(I16="Not Started",0,IF(I16="On Hold",0,IF(I16="Blocked",0,"")))))</f>
        <v>50</v>
      </c>
      <c r="K16" s="5"/>
      <c r="L16" s="5"/>
      <c r="M16" s="6" t="str">
        <f ca="1">IF(AND(L16&lt;TODAY(),I16&lt;&gt;"Complete",L16&lt;&gt;""),"YES","")</f>
        <v/>
      </c>
      <c r="N16" s="7">
        <f>IF(A16="","",SUMIF(DailyLog[Task ID],A16,DailyLog[Hours]))</f>
        <v>0</v>
      </c>
      <c r="O16" s="8" t="s">
        <v>52</v>
      </c>
    </row>
    <row r="17" spans="1:15" ht="43.15" customHeight="1">
      <c r="A17" s="20">
        <f>IF(C17="","",COUNTIF(C$14:C17,"&lt;&gt;"))</f>
        <v>4</v>
      </c>
      <c r="B17" s="21" t="s">
        <v>53</v>
      </c>
      <c r="C17" s="22" t="s">
        <v>54</v>
      </c>
      <c r="D17" s="21" t="s">
        <v>55</v>
      </c>
      <c r="E17" s="21" t="s">
        <v>49</v>
      </c>
      <c r="F17" s="22" t="s">
        <v>56</v>
      </c>
      <c r="G17" s="22" t="s">
        <v>57</v>
      </c>
      <c r="H17" s="21" t="s">
        <v>58</v>
      </c>
      <c r="I17" s="21" t="s">
        <v>44</v>
      </c>
      <c r="J17" s="23">
        <f>IF(I17="Complete",100,IF(I17="In Progress",50,IF(I17="Not Started",0,IF(I17="On Hold",0,IF(I17="Blocked",0,"")))))</f>
        <v>50</v>
      </c>
      <c r="K17" s="24"/>
      <c r="L17" s="24"/>
      <c r="M17" s="6" t="str">
        <f ca="1">IF(AND(L17&lt;TODAY(),I17&lt;&gt;"Complete",L17&lt;&gt;""),"YES","")</f>
        <v/>
      </c>
      <c r="N17" s="7">
        <f>IF(A17="","",SUMIF(DailyLog[Task ID],A17,DailyLog[Hours]))</f>
        <v>0</v>
      </c>
      <c r="O17" s="8" t="s">
        <v>59</v>
      </c>
    </row>
    <row r="18" spans="1:15">
      <c r="A18" s="20">
        <f>IF(C18="","",COUNTIF(C$14:C18,"&lt;&gt;"))</f>
        <v>5</v>
      </c>
      <c r="B18" s="21" t="s">
        <v>60</v>
      </c>
      <c r="C18" s="22" t="s">
        <v>61</v>
      </c>
      <c r="D18" s="21" t="s">
        <v>62</v>
      </c>
      <c r="E18" s="21" t="s">
        <v>49</v>
      </c>
      <c r="F18" s="22" t="s">
        <v>63</v>
      </c>
      <c r="G18" s="22" t="s">
        <v>64</v>
      </c>
      <c r="H18" s="21" t="s">
        <v>65</v>
      </c>
      <c r="I18" s="21" t="s">
        <v>66</v>
      </c>
      <c r="J18" s="23">
        <f>IF(I18="Complete",100,IF(I18="In Progress",50,IF(I18="Not Started",0,IF(I18="On Hold",0,IF(I18="Blocked",0,"")))))</f>
        <v>0</v>
      </c>
      <c r="K18" s="24"/>
      <c r="L18" s="24"/>
      <c r="M18" s="6" t="str">
        <f ca="1">IF(AND(L18&lt;TODAY(),I18&lt;&gt;"Complete",L18&lt;&gt;""),"YES","")</f>
        <v/>
      </c>
      <c r="N18" s="7">
        <f>IF(A18="","",SUMIF(DailyLog[Task ID],A18,DailyLog[Hours]))</f>
        <v>0</v>
      </c>
      <c r="O18" s="8" t="s">
        <v>67</v>
      </c>
    </row>
    <row r="19" spans="1:15">
      <c r="A19" s="20">
        <f>IF(C19="","",COUNTIF(C$14:C19,"&lt;&gt;"))</f>
        <v>6</v>
      </c>
      <c r="B19" s="21" t="s">
        <v>68</v>
      </c>
      <c r="C19" s="22" t="s">
        <v>69</v>
      </c>
      <c r="D19" s="21" t="s">
        <v>70</v>
      </c>
      <c r="E19" s="21" t="s">
        <v>33</v>
      </c>
      <c r="F19" s="22" t="s">
        <v>71</v>
      </c>
      <c r="G19" s="22" t="s">
        <v>72</v>
      </c>
      <c r="H19" s="21" t="s">
        <v>73</v>
      </c>
      <c r="I19" s="21" t="s">
        <v>37</v>
      </c>
      <c r="J19" s="23">
        <f>IF(I19="Complete",100,IF(I19="In Progress",50,IF(I19="Not Started",0,IF(I19="On Hold",0,IF(I19="Blocked",0,"")))))</f>
        <v>100</v>
      </c>
      <c r="K19" s="24">
        <v>46089</v>
      </c>
      <c r="L19" s="24">
        <v>46089</v>
      </c>
      <c r="M19" s="6" t="str">
        <f ca="1">IF(AND(L19&lt;TODAY(),I19&lt;&gt;"Complete",L19&lt;&gt;""),"YES","")</f>
        <v/>
      </c>
      <c r="N19" s="7">
        <f>IF(A19="","",SUMIF(DailyLog[Task ID],A19,DailyLog[Hours]))</f>
        <v>0</v>
      </c>
      <c r="O19" s="8" t="s">
        <v>74</v>
      </c>
    </row>
    <row r="20" spans="1:15">
      <c r="A20" s="20">
        <f>IF(C20="","",COUNTIF(C$14:C20,"&lt;&gt;"))</f>
        <v>7</v>
      </c>
      <c r="B20" s="21" t="s">
        <v>75</v>
      </c>
      <c r="C20" s="22" t="s">
        <v>76</v>
      </c>
      <c r="D20" s="21" t="s">
        <v>48</v>
      </c>
      <c r="E20" s="21" t="s">
        <v>33</v>
      </c>
      <c r="F20" s="22" t="s">
        <v>77</v>
      </c>
      <c r="G20" s="22" t="s">
        <v>78</v>
      </c>
      <c r="H20" s="21" t="s">
        <v>73</v>
      </c>
      <c r="I20" s="21" t="s">
        <v>37</v>
      </c>
      <c r="J20" s="23">
        <f>IF(I20="Complete",100,IF(I20="In Progress",50,IF(I20="Not Started",0,IF(I20="On Hold",0,IF(I20="Blocked",0,"")))))</f>
        <v>100</v>
      </c>
      <c r="K20" s="24">
        <v>46091</v>
      </c>
      <c r="L20" s="24">
        <v>46092</v>
      </c>
      <c r="M20" s="6" t="str">
        <f ca="1">IF(AND(L20&lt;TODAY(),I20&lt;&gt;"Complete",L20&lt;&gt;""),"YES","")</f>
        <v/>
      </c>
      <c r="N20" s="7">
        <f>IF(A20="","",SUMIF(DailyLog[Task ID],A20,DailyLog[Hours]))</f>
        <v>0</v>
      </c>
      <c r="O20" s="8" t="s">
        <v>79</v>
      </c>
    </row>
    <row r="21" spans="1:15">
      <c r="A21" s="20">
        <f>IF(C21="","",COUNTIF(C$14:C21,"&lt;&gt;"))</f>
        <v>8</v>
      </c>
      <c r="B21" s="21" t="s">
        <v>80</v>
      </c>
      <c r="C21" s="22" t="s">
        <v>81</v>
      </c>
      <c r="D21" s="21" t="s">
        <v>48</v>
      </c>
      <c r="E21" s="21" t="s">
        <v>33</v>
      </c>
      <c r="F21" s="22" t="s">
        <v>82</v>
      </c>
      <c r="G21" s="22" t="s">
        <v>83</v>
      </c>
      <c r="H21" s="21" t="s">
        <v>73</v>
      </c>
      <c r="I21" s="21" t="s">
        <v>37</v>
      </c>
      <c r="J21" s="23">
        <f>IF(I21="Complete",100,IF(I21="In Progress",50,IF(I21="Not Started",0,IF(I21="On Hold",0,IF(I21="Blocked",0,"")))))</f>
        <v>100</v>
      </c>
      <c r="K21" s="24">
        <v>46092</v>
      </c>
      <c r="L21" s="24">
        <v>46092</v>
      </c>
      <c r="M21" s="6" t="str">
        <f ca="1">IF(AND(L21&lt;TODAY(),I21&lt;&gt;"Complete",L21&lt;&gt;""),"YES","")</f>
        <v/>
      </c>
      <c r="N21" s="7">
        <f>IF(A21="","",SUMIF(DailyLog[Task ID],A21,DailyLog[Hours]))</f>
        <v>0</v>
      </c>
      <c r="O21" s="8" t="s">
        <v>84</v>
      </c>
    </row>
    <row r="22" spans="1:15">
      <c r="A22" s="20">
        <f>IF(C22="","",COUNTIF(C$14:C22,"&lt;&gt;"))</f>
        <v>9</v>
      </c>
      <c r="B22" s="21" t="s">
        <v>85</v>
      </c>
      <c r="C22" s="22" t="s">
        <v>86</v>
      </c>
      <c r="D22" s="21" t="s">
        <v>48</v>
      </c>
      <c r="E22" s="21" t="s">
        <v>49</v>
      </c>
      <c r="F22" s="22" t="s">
        <v>87</v>
      </c>
      <c r="G22" s="22" t="s">
        <v>88</v>
      </c>
      <c r="H22" s="21" t="s">
        <v>73</v>
      </c>
      <c r="I22" s="21" t="s">
        <v>44</v>
      </c>
      <c r="J22" s="23">
        <f>IF(I22="Complete",100,IF(I22="In Progress",50,IF(I22="Not Started",0,IF(I22="On Hold",0,IF(I22="Blocked",0,"")))))</f>
        <v>50</v>
      </c>
      <c r="K22" s="24"/>
      <c r="L22" s="24"/>
      <c r="M22" s="6" t="str">
        <f ca="1">IF(AND(L22&lt;TODAY(),I22&lt;&gt;"Complete",L22&lt;&gt;""),"YES","")</f>
        <v/>
      </c>
      <c r="N22" s="7">
        <f>IF(A22="","",SUMIF(DailyLog[Task ID],A22,DailyLog[Hours]))</f>
        <v>0</v>
      </c>
      <c r="O22" s="8" t="s">
        <v>89</v>
      </c>
    </row>
    <row r="23" spans="1:15">
      <c r="A23" s="20">
        <f>IF(C23="","",COUNTIF(C$14:C23,"&lt;&gt;"))</f>
        <v>10</v>
      </c>
      <c r="B23" s="21" t="s">
        <v>90</v>
      </c>
      <c r="C23" s="22" t="s">
        <v>91</v>
      </c>
      <c r="D23" s="21" t="s">
        <v>62</v>
      </c>
      <c r="E23" s="21" t="s">
        <v>49</v>
      </c>
      <c r="F23" s="22" t="s">
        <v>92</v>
      </c>
      <c r="G23" s="22" t="s">
        <v>93</v>
      </c>
      <c r="H23" s="21" t="s">
        <v>94</v>
      </c>
      <c r="I23" s="21" t="s">
        <v>95</v>
      </c>
      <c r="J23" s="23">
        <f>IF(I23="Complete",100,IF(I23="In Progress",50,IF(I23="Not Started",0,IF(I23="On Hold",0,IF(I23="Blocked",0,"")))))</f>
        <v>0</v>
      </c>
      <c r="K23" s="24">
        <v>46097</v>
      </c>
      <c r="L23" s="24"/>
      <c r="M23" s="6" t="str">
        <f ca="1">IF(AND(L23&lt;TODAY(),I23&lt;&gt;"Complete",L23&lt;&gt;""),"YES","")</f>
        <v/>
      </c>
      <c r="N23" s="7">
        <f>IF(A23="","",SUMIF(DailyLog[Task ID],A23,DailyLog[Hours]))</f>
        <v>0</v>
      </c>
      <c r="O23" s="8" t="s">
        <v>96</v>
      </c>
    </row>
    <row r="24" spans="1:15">
      <c r="A24">
        <f>IF(C24="","",COUNTIF(C$14:C24,"&lt;&gt;"))</f>
        <v>11</v>
      </c>
      <c r="B24" t="s">
        <v>97</v>
      </c>
      <c r="C24" t="s">
        <v>98</v>
      </c>
      <c r="D24" t="s">
        <v>62</v>
      </c>
      <c r="E24" t="s">
        <v>99</v>
      </c>
      <c r="F24" t="s">
        <v>100</v>
      </c>
      <c r="G24" t="s">
        <v>101</v>
      </c>
      <c r="H24" t="s">
        <v>65</v>
      </c>
      <c r="I24" t="s">
        <v>95</v>
      </c>
      <c r="J24" s="16">
        <f>IF(I24="Complete",100,IF(I24="In Progress",50,IF(I24="Not Started",0,IF(I24="On Hold",0,IF(I24="Blocked",0,"")))))</f>
        <v>0</v>
      </c>
      <c r="K24" s="9">
        <v>46097</v>
      </c>
      <c r="L24" s="9"/>
      <c r="M24" t="str">
        <f ca="1">IF(AND(L24&lt;TODAY(),I24&lt;&gt;"Complete",L24&lt;&gt;""),"YES","")</f>
        <v/>
      </c>
      <c r="N24" s="7">
        <f>IF(A24="","",SUMIF(DailyLog[Task ID],A24,DailyLog[Hours]))</f>
        <v>0</v>
      </c>
      <c r="O24" s="8" t="s">
        <v>102</v>
      </c>
    </row>
    <row r="25" spans="1:15">
      <c r="A25" t="str">
        <f>IF(C25="","",COUNTIF(C$14:C25,"&lt;&gt;"))</f>
        <v/>
      </c>
      <c r="J25" s="16" t="str">
        <f>IF(I25="Complete",100,IF(I25="In Progress",50,IF(I25="Not Started",0,IF(I25="On Hold",0,IF(I25="Blocked",0,"")))))</f>
        <v/>
      </c>
      <c r="K25" s="9"/>
      <c r="L25" s="9"/>
      <c r="M25" t="str">
        <f ca="1">IF(AND(L25&lt;TODAY(),I25&lt;&gt;"Complete",L25&lt;&gt;""),"YES","")</f>
        <v/>
      </c>
      <c r="N25" s="7" t="str">
        <f>IF(A25="","",SUMIF(DailyLog[Task ID],A25,DailyLog[Hours]))</f>
        <v/>
      </c>
      <c r="O25" s="8"/>
    </row>
    <row r="26" spans="1:15">
      <c r="A26" t="str">
        <f>IF(C26="","",COUNTIF(C$14:C26,"&lt;&gt;"))</f>
        <v/>
      </c>
      <c r="J26" s="16" t="str">
        <f>IF(I26="Complete",100,IF(I26="In Progress",50,IF(I26="Not Started",0,IF(I26="On Hold",0,IF(I26="Blocked",0,"")))))</f>
        <v/>
      </c>
      <c r="K26" s="9"/>
      <c r="L26" s="9"/>
      <c r="M26" t="str">
        <f ca="1">IF(AND(L26&lt;TODAY(),I26&lt;&gt;"Complete",L26&lt;&gt;""),"YES","")</f>
        <v/>
      </c>
      <c r="N26" s="7" t="str">
        <f>IF(A26="","",SUMIF(DailyLog[Task ID],A26,DailyLog[Hours]))</f>
        <v/>
      </c>
      <c r="O26" s="8"/>
    </row>
    <row r="27" spans="1:15">
      <c r="A27" t="str">
        <f>IF(C27="","",COUNTIF(C$14:C27,"&lt;&gt;"))</f>
        <v/>
      </c>
      <c r="J27" s="16" t="str">
        <f>IF(I27="Complete",100,IF(I27="In Progress",50,IF(I27="Not Started",0,IF(I27="On Hold",0,IF(I27="Blocked",0,"")))))</f>
        <v/>
      </c>
      <c r="K27" s="9"/>
      <c r="L27" s="9"/>
      <c r="M27" t="str">
        <f ca="1">IF(AND(L27&lt;TODAY(),I27&lt;&gt;"Complete",L27&lt;&gt;""),"YES","")</f>
        <v/>
      </c>
      <c r="N27" s="7" t="str">
        <f>IF(A27="","",SUMIF(DailyLog[Task ID],A27,DailyLog[Hours]))</f>
        <v/>
      </c>
      <c r="O27" s="8"/>
    </row>
    <row r="28" spans="1:15">
      <c r="A28" t="str">
        <f>IF(C28="","",COUNTIF(C$14:C28,"&lt;&gt;"))</f>
        <v/>
      </c>
      <c r="J28" s="16" t="str">
        <f>IF(I28="Complete",100,IF(I28="In Progress",50,IF(I28="Not Started",0,IF(I28="On Hold",0,IF(I28="Blocked",0,"")))))</f>
        <v/>
      </c>
      <c r="K28" s="9"/>
      <c r="L28" s="9"/>
      <c r="M28" t="str">
        <f ca="1">IF(AND(L28&lt;TODAY(),I28&lt;&gt;"Complete",L28&lt;&gt;""),"YES","")</f>
        <v/>
      </c>
      <c r="N28" s="7" t="str">
        <f>IF(A28="","",SUMIF(DailyLog[Task ID],A28,DailyLog[Hours]))</f>
        <v/>
      </c>
      <c r="O28" s="8"/>
    </row>
    <row r="29" spans="1:15">
      <c r="A29" t="str">
        <f>IF(C29="","",COUNTIF(C$14:C29,"&lt;&gt;"))</f>
        <v/>
      </c>
      <c r="J29" s="16" t="str">
        <f>IF(I29="Complete",100,IF(I29="In Progress",50,IF(I29="Not Started",0,IF(I29="On Hold",0,IF(I29="Blocked",0,"")))))</f>
        <v/>
      </c>
      <c r="K29" s="9"/>
      <c r="L29" s="9"/>
      <c r="M29" t="str">
        <f ca="1">IF(AND(L29&lt;TODAY(),I29&lt;&gt;"Complete",L29&lt;&gt;""),"YES","")</f>
        <v/>
      </c>
      <c r="N29" s="7" t="str">
        <f>IF(A29="","",SUMIF(DailyLog[Task ID],A29,DailyLog[Hours]))</f>
        <v/>
      </c>
      <c r="O29" s="8"/>
    </row>
    <row r="30" spans="1:15">
      <c r="A30" t="str">
        <f>IF(C30="","",COUNTIF(C$14:C30,"&lt;&gt;"))</f>
        <v/>
      </c>
      <c r="J30" s="16" t="str">
        <f>IF(I30="Complete",100,IF(I30="In Progress",50,IF(I30="Not Started",0,IF(I30="On Hold",0,IF(I30="Blocked",0,"")))))</f>
        <v/>
      </c>
      <c r="K30" s="9"/>
      <c r="L30" s="9"/>
      <c r="M30" t="str">
        <f ca="1">IF(AND(L30&lt;TODAY(),I30&lt;&gt;"Complete",L30&lt;&gt;""),"YES","")</f>
        <v/>
      </c>
      <c r="N30" s="7" t="str">
        <f>IF(A30="","",SUMIF(DailyLog[Task ID],A30,DailyLog[Hours]))</f>
        <v/>
      </c>
      <c r="O30" s="8"/>
    </row>
    <row r="31" spans="1:15">
      <c r="A31" t="str">
        <f>IF(C31="","",COUNTIF(C$14:C31,"&lt;&gt;"))</f>
        <v/>
      </c>
      <c r="J31" s="16" t="str">
        <f>IF(I31="Complete",100,IF(I31="In Progress",50,IF(I31="Not Started",0,IF(I31="On Hold",0,IF(I31="Blocked",0,"")))))</f>
        <v/>
      </c>
      <c r="K31" s="9"/>
      <c r="L31" s="9"/>
      <c r="M31" t="str">
        <f ca="1">IF(AND(L31&lt;TODAY(),I31&lt;&gt;"Complete",L31&lt;&gt;""),"YES","")</f>
        <v/>
      </c>
      <c r="N31" s="7" t="str">
        <f>IF(A31="","",SUMIF(DailyLog[Task ID],A31,DailyLog[Hours]))</f>
        <v/>
      </c>
      <c r="O31" s="8"/>
    </row>
    <row r="32" spans="1:15">
      <c r="A32" t="str">
        <f>IF(C32="","",COUNTIF(C$14:C32,"&lt;&gt;"))</f>
        <v/>
      </c>
      <c r="J32" s="16" t="str">
        <f>IF(I32="Complete",100,IF(I32="In Progress",50,IF(I32="Not Started",0,IF(I32="On Hold",0,IF(I32="Blocked",0,"")))))</f>
        <v/>
      </c>
      <c r="K32" s="9"/>
      <c r="L32" s="9"/>
      <c r="M32" t="str">
        <f ca="1">IF(AND(L32&lt;TODAY(),I32&lt;&gt;"Complete",L32&lt;&gt;""),"YES","")</f>
        <v/>
      </c>
      <c r="N32" s="7" t="str">
        <f>IF(A32="","",SUMIF(DailyLog[Task ID],A32,DailyLog[Hours]))</f>
        <v/>
      </c>
      <c r="O32" s="8"/>
    </row>
    <row r="33" spans="1:15">
      <c r="A33" t="str">
        <f>IF(C33="","",COUNTIF(C$14:C33,"&lt;&gt;"))</f>
        <v/>
      </c>
      <c r="J33" s="16" t="str">
        <f>IF(I33="Complete",100,IF(I33="In Progress",50,IF(I33="Not Started",0,IF(I33="On Hold",0,IF(I33="Blocked",0,"")))))</f>
        <v/>
      </c>
      <c r="K33" s="9"/>
      <c r="L33" s="9"/>
      <c r="M33" t="str">
        <f ca="1">IF(AND(L33&lt;TODAY(),I33&lt;&gt;"Complete",L33&lt;&gt;""),"YES","")</f>
        <v/>
      </c>
      <c r="N33" s="7" t="str">
        <f>IF(A33="","",SUMIF(DailyLog[Task ID],A33,DailyLog[Hours]))</f>
        <v/>
      </c>
      <c r="O33" s="8"/>
    </row>
    <row r="34" spans="1:15">
      <c r="A34" t="str">
        <f>IF(C34="","",COUNTIF(C$14:C34,"&lt;&gt;"))</f>
        <v/>
      </c>
      <c r="J34" s="16" t="str">
        <f>IF(I34="Complete",100,IF(I34="In Progress",50,IF(I34="Not Started",0,IF(I34="On Hold",0,IF(I34="Blocked",0,"")))))</f>
        <v/>
      </c>
      <c r="K34" s="9"/>
      <c r="L34" s="9"/>
      <c r="M34" t="str">
        <f ca="1">IF(AND(L34&lt;TODAY(),I34&lt;&gt;"Complete",L34&lt;&gt;""),"YES","")</f>
        <v/>
      </c>
      <c r="N34" s="7" t="str">
        <f>IF(A34="","",SUMIF(DailyLog[Task ID],A34,DailyLog[Hours]))</f>
        <v/>
      </c>
      <c r="O34" s="8"/>
    </row>
    <row r="35" spans="1:15">
      <c r="A35" t="str">
        <f>IF(C35="","",COUNTIF(C$14:C35,"&lt;&gt;"))</f>
        <v/>
      </c>
      <c r="J35" s="16" t="str">
        <f>IF(I35="Complete",100,IF(I35="In Progress",50,IF(I35="Not Started",0,IF(I35="On Hold",0,IF(I35="Blocked",0,"")))))</f>
        <v/>
      </c>
      <c r="K35" s="9"/>
      <c r="L35" s="9"/>
      <c r="M35" t="str">
        <f ca="1">IF(AND(L35&lt;TODAY(),I35&lt;&gt;"Complete",L35&lt;&gt;""),"YES","")</f>
        <v/>
      </c>
      <c r="N35" s="7" t="str">
        <f>IF(A35="","",SUMIF(DailyLog[Task ID],A35,DailyLog[Hours]))</f>
        <v/>
      </c>
      <c r="O35" s="8"/>
    </row>
    <row r="36" spans="1:15">
      <c r="A36" t="str">
        <f>IF(C36="","",COUNTIF(C$14:C36,"&lt;&gt;"))</f>
        <v/>
      </c>
      <c r="J36" s="16" t="str">
        <f>IF(I36="Complete",100,IF(I36="In Progress",50,IF(I36="Not Started",0,IF(I36="On Hold",0,IF(I36="Blocked",0,"")))))</f>
        <v/>
      </c>
      <c r="K36" s="9"/>
      <c r="L36" s="9"/>
      <c r="M36" t="str">
        <f ca="1">IF(AND(L36&lt;TODAY(),I36&lt;&gt;"Complete",L36&lt;&gt;""),"YES","")</f>
        <v/>
      </c>
      <c r="N36" s="7" t="str">
        <f>IF(A36="","",SUMIF(DailyLog[Task ID],A36,DailyLog[Hours]))</f>
        <v/>
      </c>
      <c r="O36" s="8"/>
    </row>
    <row r="37" spans="1:15">
      <c r="A37" t="str">
        <f>IF(C37="","",COUNTIF(C$14:C37,"&lt;&gt;"))</f>
        <v/>
      </c>
      <c r="J37" s="16" t="str">
        <f>IF(I37="Complete",100,IF(I37="In Progress",50,IF(I37="Not Started",0,IF(I37="On Hold",0,IF(I37="Blocked",0,"")))))</f>
        <v/>
      </c>
      <c r="K37" s="9"/>
      <c r="L37" s="9"/>
      <c r="M37" t="str">
        <f ca="1">IF(AND(L37&lt;TODAY(),I37&lt;&gt;"Complete",L37&lt;&gt;""),"YES","")</f>
        <v/>
      </c>
      <c r="N37" s="7" t="str">
        <f>IF(A37="","",SUMIF(DailyLog[Task ID],A37,DailyLog[Hours]))</f>
        <v/>
      </c>
      <c r="O37" s="8"/>
    </row>
    <row r="38" spans="1:15">
      <c r="A38" t="str">
        <f>IF(C38="","",COUNTIF(C$14:C38,"&lt;&gt;"))</f>
        <v/>
      </c>
      <c r="J38" s="16" t="str">
        <f>IF(I38="Complete",100,IF(I38="In Progress",50,IF(I38="Not Started",0,IF(I38="On Hold",0,IF(I38="Blocked",0,"")))))</f>
        <v/>
      </c>
      <c r="K38" s="9"/>
      <c r="L38" s="9"/>
      <c r="M38" t="str">
        <f ca="1">IF(AND(L38&lt;TODAY(),I38&lt;&gt;"Complete",L38&lt;&gt;""),"YES","")</f>
        <v/>
      </c>
      <c r="N38" s="7" t="str">
        <f>IF(A38="","",SUMIF(DailyLog[Task ID],A38,DailyLog[Hours]))</f>
        <v/>
      </c>
      <c r="O38" s="8"/>
    </row>
    <row r="39" spans="1:15">
      <c r="A39" t="str">
        <f>IF(C39="","",COUNTIF(C$14:C39,"&lt;&gt;"))</f>
        <v/>
      </c>
      <c r="J39" s="16" t="str">
        <f>IF(I39="Complete",100,IF(I39="In Progress",50,IF(I39="Not Started",0,IF(I39="On Hold",0,IF(I39="Blocked",0,"")))))</f>
        <v/>
      </c>
      <c r="K39" s="9"/>
      <c r="L39" s="9"/>
      <c r="M39" t="str">
        <f ca="1">IF(AND(L39&lt;TODAY(),I39&lt;&gt;"Complete",L39&lt;&gt;""),"YES","")</f>
        <v/>
      </c>
      <c r="N39" s="7" t="str">
        <f>IF(A39="","",SUMIF(DailyLog[Task ID],A39,DailyLog[Hours]))</f>
        <v/>
      </c>
      <c r="O39" s="8"/>
    </row>
    <row r="40" spans="1:15">
      <c r="A40" t="str">
        <f>IF(C40="","",COUNTIF(C$14:C40,"&lt;&gt;"))</f>
        <v/>
      </c>
      <c r="J40" s="16" t="str">
        <f>IF(I40="Complete",100,IF(I40="In Progress",50,IF(I40="Not Started",0,IF(I40="On Hold",0,IF(I40="Blocked",0,"")))))</f>
        <v/>
      </c>
      <c r="K40" s="9"/>
      <c r="L40" s="9"/>
      <c r="M40" t="str">
        <f ca="1">IF(AND(L40&lt;TODAY(),I40&lt;&gt;"Complete",L40&lt;&gt;""),"YES","")</f>
        <v/>
      </c>
      <c r="N40" s="7" t="str">
        <f>IF(A40="","",SUMIF(DailyLog[Task ID],A40,DailyLog[Hours]))</f>
        <v/>
      </c>
      <c r="O40" s="8"/>
    </row>
    <row r="41" spans="1:15">
      <c r="A41" t="str">
        <f>IF(C41="","",COUNTIF(C$14:C41,"&lt;&gt;"))</f>
        <v/>
      </c>
      <c r="J41" s="16" t="str">
        <f>IF(I41="Complete",100,IF(I41="In Progress",50,IF(I41="Not Started",0,IF(I41="On Hold",0,IF(I41="Blocked",0,"")))))</f>
        <v/>
      </c>
      <c r="K41" s="9"/>
      <c r="L41" s="9"/>
      <c r="M41" t="str">
        <f ca="1">IF(AND(L41&lt;TODAY(),I41&lt;&gt;"Complete",L41&lt;&gt;""),"YES","")</f>
        <v/>
      </c>
      <c r="N41" s="7" t="str">
        <f>IF(A41="","",SUMIF(DailyLog[Task ID],A41,DailyLog[Hours]))</f>
        <v/>
      </c>
      <c r="O41" s="8"/>
    </row>
    <row r="42" spans="1:15">
      <c r="A42" t="str">
        <f>IF(C42="","",COUNTIF(C$14:C42,"&lt;&gt;"))</f>
        <v/>
      </c>
      <c r="J42" s="16" t="str">
        <f>IF(I42="Complete",100,IF(I42="In Progress",50,IF(I42="Not Started",0,IF(I42="On Hold",0,IF(I42="Blocked",0,"")))))</f>
        <v/>
      </c>
      <c r="K42" s="9"/>
      <c r="L42" s="9"/>
      <c r="M42" t="str">
        <f ca="1">IF(AND(L42&lt;TODAY(),I42&lt;&gt;"Complete",L42&lt;&gt;""),"YES","")</f>
        <v/>
      </c>
      <c r="N42" s="7" t="str">
        <f>IF(A42="","",SUMIF(DailyLog[Task ID],A42,DailyLog[Hours]))</f>
        <v/>
      </c>
      <c r="O42" s="8"/>
    </row>
    <row r="43" spans="1:15">
      <c r="A43" t="str">
        <f>IF(C43="","",COUNTIF(C$14:C43,"&lt;&gt;"))</f>
        <v/>
      </c>
      <c r="J43" s="16" t="str">
        <f>IF(I43="Complete",100,IF(I43="In Progress",50,IF(I43="Not Started",0,IF(I43="On Hold",0,IF(I43="Blocked",0,"")))))</f>
        <v/>
      </c>
      <c r="K43" s="9"/>
      <c r="L43" s="9"/>
      <c r="M43" t="str">
        <f ca="1">IF(AND(L43&lt;TODAY(),I43&lt;&gt;"Complete",L43&lt;&gt;""),"YES","")</f>
        <v/>
      </c>
      <c r="N43" s="7" t="str">
        <f>IF(A43="","",SUMIF(DailyLog[Task ID],A43,DailyLog[Hours]))</f>
        <v/>
      </c>
      <c r="O43" s="8"/>
    </row>
    <row r="44" spans="1:15">
      <c r="A44" t="str">
        <f>IF(C44="","",COUNTIF(C$14:C44,"&lt;&gt;"))</f>
        <v/>
      </c>
      <c r="J44" s="16" t="str">
        <f>IF(I44="Complete",100,IF(I44="In Progress",50,IF(I44="Not Started",0,IF(I44="On Hold",0,IF(I44="Blocked",0,"")))))</f>
        <v/>
      </c>
      <c r="K44" s="9"/>
      <c r="L44" s="9"/>
      <c r="M44" t="str">
        <f ca="1">IF(AND(L44&lt;TODAY(),I44&lt;&gt;"Complete",L44&lt;&gt;""),"YES","")</f>
        <v/>
      </c>
      <c r="N44" s="7" t="str">
        <f>IF(A44="","",SUMIF(DailyLog[Task ID],A44,DailyLog[Hours]))</f>
        <v/>
      </c>
      <c r="O44" s="8"/>
    </row>
    <row r="45" spans="1:15">
      <c r="A45" t="str">
        <f>IF(C45="","",COUNTIF(C$14:C45,"&lt;&gt;"))</f>
        <v/>
      </c>
      <c r="J45" s="16" t="str">
        <f>IF(I45="Complete",100,IF(I45="In Progress",50,IF(I45="Not Started",0,IF(I45="On Hold",0,IF(I45="Blocked",0,"")))))</f>
        <v/>
      </c>
      <c r="K45" s="9"/>
      <c r="L45" s="9"/>
      <c r="M45" t="str">
        <f ca="1">IF(AND(L45&lt;TODAY(),I45&lt;&gt;"Complete",L45&lt;&gt;""),"YES","")</f>
        <v/>
      </c>
      <c r="N45" s="7" t="str">
        <f>IF(A45="","",SUMIF(DailyLog[Task ID],A45,DailyLog[Hours]))</f>
        <v/>
      </c>
      <c r="O45" s="8"/>
    </row>
    <row r="46" spans="1:15">
      <c r="A46" t="str">
        <f>IF(C46="","",COUNTIF(C$14:C46,"&lt;&gt;"))</f>
        <v/>
      </c>
      <c r="J46" s="16" t="str">
        <f>IF(I46="Complete",100,IF(I46="In Progress",50,IF(I46="Not Started",0,IF(I46="On Hold",0,IF(I46="Blocked",0,"")))))</f>
        <v/>
      </c>
      <c r="K46" s="9"/>
      <c r="L46" s="9"/>
      <c r="M46" t="str">
        <f ca="1">IF(AND(L46&lt;TODAY(),I46&lt;&gt;"Complete",L46&lt;&gt;""),"YES","")</f>
        <v/>
      </c>
      <c r="N46" s="7" t="str">
        <f>IF(A46="","",SUMIF(DailyLog[Task ID],A46,DailyLog[Hours]))</f>
        <v/>
      </c>
      <c r="O46" s="8"/>
    </row>
    <row r="47" spans="1:15">
      <c r="A47" t="str">
        <f>IF(C47="","",COUNTIF(C$14:C47,"&lt;&gt;"))</f>
        <v/>
      </c>
      <c r="J47" s="16" t="str">
        <f>IF(I47="Complete",100,IF(I47="In Progress",50,IF(I47="Not Started",0,IF(I47="On Hold",0,IF(I47="Blocked",0,"")))))</f>
        <v/>
      </c>
      <c r="K47" s="9"/>
      <c r="L47" s="9"/>
      <c r="M47" t="str">
        <f ca="1">IF(AND(L47&lt;TODAY(),I47&lt;&gt;"Complete",L47&lt;&gt;""),"YES","")</f>
        <v/>
      </c>
      <c r="N47" s="7" t="str">
        <f>IF(A47="","",SUMIF(DailyLog[Task ID],A47,DailyLog[Hours]))</f>
        <v/>
      </c>
      <c r="O47" s="8"/>
    </row>
    <row r="48" spans="1:15">
      <c r="A48" t="str">
        <f>IF(C48="","",COUNTIF(C$14:C48,"&lt;&gt;"))</f>
        <v/>
      </c>
      <c r="J48" s="16" t="str">
        <f>IF(I48="Complete",100,IF(I48="In Progress",50,IF(I48="Not Started",0,IF(I48="On Hold",0,IF(I48="Blocked",0,"")))))</f>
        <v/>
      </c>
      <c r="K48" s="9"/>
      <c r="L48" s="9"/>
      <c r="M48" t="str">
        <f ca="1">IF(AND(L48&lt;TODAY(),I48&lt;&gt;"Complete",L48&lt;&gt;""),"YES","")</f>
        <v/>
      </c>
      <c r="N48" s="7" t="str">
        <f>IF(A48="","",SUMIF(DailyLog[Task ID],A48,DailyLog[Hours]))</f>
        <v/>
      </c>
      <c r="O48" s="8"/>
    </row>
    <row r="49" spans="1:15">
      <c r="A49" t="str">
        <f>IF(C49="","",COUNTIF(C$14:C49,"&lt;&gt;"))</f>
        <v/>
      </c>
      <c r="J49" s="16" t="str">
        <f>IF(I49="Complete",100,IF(I49="In Progress",50,IF(I49="Not Started",0,IF(I49="On Hold",0,IF(I49="Blocked",0,"")))))</f>
        <v/>
      </c>
      <c r="K49" s="9"/>
      <c r="L49" s="9"/>
      <c r="M49" t="str">
        <f ca="1">IF(AND(L49&lt;TODAY(),I49&lt;&gt;"Complete",L49&lt;&gt;""),"YES","")</f>
        <v/>
      </c>
      <c r="N49" s="7" t="str">
        <f>IF(A49="","",SUMIF(DailyLog[Task ID],A49,DailyLog[Hours]))</f>
        <v/>
      </c>
      <c r="O49" s="8"/>
    </row>
    <row r="50" spans="1:15">
      <c r="A50" t="str">
        <f>IF(C50="","",COUNTIF(C$14:C50,"&lt;&gt;"))</f>
        <v/>
      </c>
      <c r="J50" s="16" t="str">
        <f>IF(I50="Complete",100,IF(I50="In Progress",50,IF(I50="Not Started",0,IF(I50="On Hold",0,IF(I50="Blocked",0,"")))))</f>
        <v/>
      </c>
      <c r="K50" s="9"/>
      <c r="L50" s="9"/>
      <c r="M50" t="str">
        <f ca="1">IF(AND(L50&lt;TODAY(),I50&lt;&gt;"Complete",L50&lt;&gt;""),"YES","")</f>
        <v/>
      </c>
      <c r="N50" s="7" t="str">
        <f>IF(A50="","",SUMIF(DailyLog[Task ID],A50,DailyLog[Hours]))</f>
        <v/>
      </c>
      <c r="O50" s="8"/>
    </row>
    <row r="51" spans="1:15">
      <c r="A51" t="str">
        <f>IF(C51="","",COUNTIF(C$14:C51,"&lt;&gt;"))</f>
        <v/>
      </c>
      <c r="J51" s="16" t="str">
        <f>IF(I51="Complete",100,IF(I51="In Progress",50,IF(I51="Not Started",0,IF(I51="On Hold",0,IF(I51="Blocked",0,"")))))</f>
        <v/>
      </c>
      <c r="K51" s="9"/>
      <c r="L51" s="9"/>
      <c r="M51" t="str">
        <f ca="1">IF(AND(L51&lt;TODAY(),I51&lt;&gt;"Complete",L51&lt;&gt;""),"YES","")</f>
        <v/>
      </c>
      <c r="N51" s="7" t="str">
        <f>IF(A51="","",SUMIF(DailyLog[Task ID],A51,DailyLog[Hours]))</f>
        <v/>
      </c>
      <c r="O51" s="8"/>
    </row>
    <row r="52" spans="1:15">
      <c r="A52" t="str">
        <f>IF(C52="","",COUNTIF(C$14:C52,"&lt;&gt;"))</f>
        <v/>
      </c>
      <c r="J52" s="16" t="str">
        <f>IF(I52="Complete",100,IF(I52="In Progress",50,IF(I52="Not Started",0,IF(I52="On Hold",0,IF(I52="Blocked",0,"")))))</f>
        <v/>
      </c>
      <c r="K52" s="9"/>
      <c r="L52" s="9"/>
      <c r="M52" t="str">
        <f ca="1">IF(AND(L52&lt;TODAY(),I52&lt;&gt;"Complete",L52&lt;&gt;""),"YES","")</f>
        <v/>
      </c>
      <c r="N52" s="7" t="str">
        <f>IF(A52="","",SUMIF(DailyLog[Task ID],A52,DailyLog[Hours]))</f>
        <v/>
      </c>
      <c r="O52" s="8"/>
    </row>
    <row r="53" spans="1:15">
      <c r="A53" t="str">
        <f>IF(C53="","",COUNTIF(C$14:C53,"&lt;&gt;"))</f>
        <v/>
      </c>
      <c r="J53" s="16" t="str">
        <f>IF(I53="Complete",100,IF(I53="In Progress",50,IF(I53="Not Started",0,IF(I53="On Hold",0,IF(I53="Blocked",0,"")))))</f>
        <v/>
      </c>
      <c r="K53" s="9"/>
      <c r="L53" s="9"/>
      <c r="M53" t="str">
        <f ca="1">IF(AND(L53&lt;TODAY(),I53&lt;&gt;"Complete",L53&lt;&gt;""),"YES","")</f>
        <v/>
      </c>
      <c r="N53" s="7" t="str">
        <f>IF(A53="","",SUMIF(DailyLog[Task ID],A53,DailyLog[Hours]))</f>
        <v/>
      </c>
      <c r="O53" s="8"/>
    </row>
    <row r="54" spans="1:15">
      <c r="A54" t="str">
        <f>IF(C54="","",COUNTIF(C$14:C54,"&lt;&gt;"))</f>
        <v/>
      </c>
      <c r="J54" s="16" t="str">
        <f>IF(I54="Complete",100,IF(I54="In Progress",50,IF(I54="Not Started",0,IF(I54="On Hold",0,IF(I54="Blocked",0,"")))))</f>
        <v/>
      </c>
      <c r="K54" s="9"/>
      <c r="L54" s="9"/>
      <c r="M54" t="str">
        <f ca="1">IF(AND(L54&lt;TODAY(),I54&lt;&gt;"Complete",L54&lt;&gt;""),"YES","")</f>
        <v/>
      </c>
      <c r="N54" s="7" t="str">
        <f>IF(A54="","",SUMIF(DailyLog[Task ID],A54,DailyLog[Hours]))</f>
        <v/>
      </c>
      <c r="O54" s="8"/>
    </row>
    <row r="55" spans="1:15">
      <c r="A55" t="str">
        <f>IF(C55="","",COUNTIF(C$14:C55,"&lt;&gt;"))</f>
        <v/>
      </c>
      <c r="J55" s="16" t="str">
        <f>IF(I55="Complete",100,IF(I55="In Progress",50,IF(I55="Not Started",0,IF(I55="On Hold",0,IF(I55="Blocked",0,"")))))</f>
        <v/>
      </c>
      <c r="K55" s="9"/>
      <c r="L55" s="9"/>
      <c r="M55" t="str">
        <f ca="1">IF(AND(L55&lt;TODAY(),I55&lt;&gt;"Complete",L55&lt;&gt;""),"YES","")</f>
        <v/>
      </c>
      <c r="N55" s="7" t="str">
        <f>IF(A55="","",SUMIF(DailyLog[Task ID],A55,DailyLog[Hours]))</f>
        <v/>
      </c>
      <c r="O55" s="8"/>
    </row>
    <row r="56" spans="1:15">
      <c r="A56" t="str">
        <f>IF(C56="","",COUNTIF(C$14:C56,"&lt;&gt;"))</f>
        <v/>
      </c>
      <c r="J56" s="16" t="str">
        <f>IF(I56="Complete",100,IF(I56="In Progress",50,IF(I56="Not Started",0,IF(I56="On Hold",0,IF(I56="Blocked",0,"")))))</f>
        <v/>
      </c>
      <c r="K56" s="9"/>
      <c r="L56" s="9"/>
      <c r="M56" t="str">
        <f ca="1">IF(AND(L56&lt;TODAY(),I56&lt;&gt;"Complete",L56&lt;&gt;""),"YES","")</f>
        <v/>
      </c>
      <c r="N56" s="7" t="str">
        <f>IF(A56="","",SUMIF(DailyLog[Task ID],A56,DailyLog[Hours]))</f>
        <v/>
      </c>
      <c r="O56" s="8"/>
    </row>
    <row r="57" spans="1:15">
      <c r="A57" t="str">
        <f>IF(C57="","",COUNTIF(C$14:C57,"&lt;&gt;"))</f>
        <v/>
      </c>
      <c r="J57" s="16" t="str">
        <f>IF(I57="Complete",100,IF(I57="In Progress",50,IF(I57="Not Started",0,IF(I57="On Hold",0,IF(I57="Blocked",0,"")))))</f>
        <v/>
      </c>
      <c r="K57" s="9"/>
      <c r="L57" s="9"/>
      <c r="M57" t="str">
        <f ca="1">IF(AND(L57&lt;TODAY(),I57&lt;&gt;"Complete",L57&lt;&gt;""),"YES","")</f>
        <v/>
      </c>
      <c r="N57" s="7" t="str">
        <f>IF(A57="","",SUMIF(DailyLog[Task ID],A57,DailyLog[Hours]))</f>
        <v/>
      </c>
      <c r="O57" s="8"/>
    </row>
    <row r="58" spans="1:15">
      <c r="A58" t="str">
        <f>IF(C58="","",COUNTIF(C$14:C58,"&lt;&gt;"))</f>
        <v/>
      </c>
      <c r="J58" s="16" t="str">
        <f>IF(I58="Complete",100,IF(I58="In Progress",50,IF(I58="Not Started",0,IF(I58="On Hold",0,IF(I58="Blocked",0,"")))))</f>
        <v/>
      </c>
      <c r="K58" s="9"/>
      <c r="L58" s="9"/>
      <c r="M58" t="str">
        <f ca="1">IF(AND(L58&lt;TODAY(),I58&lt;&gt;"Complete",L58&lt;&gt;""),"YES","")</f>
        <v/>
      </c>
      <c r="N58" s="7" t="str">
        <f>IF(A58="","",SUMIF(DailyLog[Task ID],A58,DailyLog[Hours]))</f>
        <v/>
      </c>
      <c r="O58" s="8"/>
    </row>
    <row r="59" spans="1:15">
      <c r="A59" t="str">
        <f>IF(C59="","",COUNTIF(C$14:C59,"&lt;&gt;"))</f>
        <v/>
      </c>
      <c r="J59" s="16" t="str">
        <f>IF(I59="Complete",100,IF(I59="In Progress",50,IF(I59="Not Started",0,IF(I59="On Hold",0,IF(I59="Blocked",0,"")))))</f>
        <v/>
      </c>
      <c r="K59" s="9"/>
      <c r="L59" s="9"/>
      <c r="M59" t="str">
        <f ca="1">IF(AND(L59&lt;TODAY(),I59&lt;&gt;"Complete",L59&lt;&gt;""),"YES","")</f>
        <v/>
      </c>
      <c r="N59" s="7" t="str">
        <f>IF(A59="","",SUMIF(DailyLog[Task ID],A59,DailyLog[Hours]))</f>
        <v/>
      </c>
      <c r="O59" s="8"/>
    </row>
    <row r="60" spans="1:15">
      <c r="A60" t="str">
        <f>IF(C60="","",COUNTIF(C$14:C60,"&lt;&gt;"))</f>
        <v/>
      </c>
      <c r="J60" s="16" t="str">
        <f>IF(I60="Complete",100,IF(I60="In Progress",50,IF(I60="Not Started",0,IF(I60="On Hold",0,IF(I60="Blocked",0,"")))))</f>
        <v/>
      </c>
      <c r="K60" s="9"/>
      <c r="L60" s="9"/>
      <c r="M60" t="str">
        <f ca="1">IF(AND(L60&lt;TODAY(),I60&lt;&gt;"Complete",L60&lt;&gt;""),"YES","")</f>
        <v/>
      </c>
      <c r="N60" s="7" t="str">
        <f>IF(A60="","",SUMIF(DailyLog[Task ID],A60,DailyLog[Hours]))</f>
        <v/>
      </c>
      <c r="O60" s="8"/>
    </row>
    <row r="61" spans="1:15">
      <c r="A61" t="str">
        <f>IF(C61="","",COUNTIF(C$14:C61,"&lt;&gt;"))</f>
        <v/>
      </c>
      <c r="J61" s="16" t="str">
        <f>IF(I61="Complete",100,IF(I61="In Progress",50,IF(I61="Not Started",0,IF(I61="On Hold",0,IF(I61="Blocked",0,"")))))</f>
        <v/>
      </c>
      <c r="K61" s="9"/>
      <c r="L61" s="9"/>
      <c r="M61" t="str">
        <f ca="1">IF(AND(L61&lt;TODAY(),I61&lt;&gt;"Complete",L61&lt;&gt;""),"YES","")</f>
        <v/>
      </c>
      <c r="N61" s="7" t="str">
        <f>IF(A61="","",SUMIF(DailyLog[Task ID],A61,DailyLog[Hours]))</f>
        <v/>
      </c>
      <c r="O61" s="8"/>
    </row>
    <row r="62" spans="1:15">
      <c r="A62" t="str">
        <f>IF(C62="","",COUNTIF(C$14:C62,"&lt;&gt;"))</f>
        <v/>
      </c>
      <c r="J62" s="16" t="str">
        <f>IF(I62="Complete",100,IF(I62="In Progress",50,IF(I62="Not Started",0,IF(I62="On Hold",0,IF(I62="Blocked",0,"")))))</f>
        <v/>
      </c>
      <c r="K62" s="9"/>
      <c r="L62" s="9"/>
      <c r="M62" t="str">
        <f ca="1">IF(AND(L62&lt;TODAY(),I62&lt;&gt;"Complete",L62&lt;&gt;""),"YES","")</f>
        <v/>
      </c>
      <c r="N62" s="7" t="str">
        <f>IF(A62="","",SUMIF(DailyLog[Task ID],A62,DailyLog[Hours]))</f>
        <v/>
      </c>
      <c r="O62" s="8"/>
    </row>
    <row r="63" spans="1:15">
      <c r="A63" t="str">
        <f>IF(C63="","",COUNTIF(C$14:C63,"&lt;&gt;"))</f>
        <v/>
      </c>
      <c r="J63" s="16" t="str">
        <f>IF(I63="Complete",100,IF(I63="In Progress",50,IF(I63="Not Started",0,IF(I63="On Hold",0,IF(I63="Blocked",0,"")))))</f>
        <v/>
      </c>
      <c r="K63" s="9"/>
      <c r="L63" s="9"/>
      <c r="M63" t="str">
        <f ca="1">IF(AND(L63&lt;TODAY(),I63&lt;&gt;"Complete",L63&lt;&gt;""),"YES","")</f>
        <v/>
      </c>
      <c r="N63" s="7" t="str">
        <f>IF(A63="","",SUMIF(DailyLog[Task ID],A63,DailyLog[Hours]))</f>
        <v/>
      </c>
      <c r="O63" s="8"/>
    </row>
    <row r="64" spans="1:15">
      <c r="A64" t="str">
        <f>IF(C64="","",COUNTIF(C$14:C64,"&lt;&gt;"))</f>
        <v/>
      </c>
      <c r="J64" s="16" t="str">
        <f>IF(I64="Complete",100,IF(I64="In Progress",50,IF(I64="Not Started",0,IF(I64="On Hold",0,IF(I64="Blocked",0,"")))))</f>
        <v/>
      </c>
      <c r="K64" s="9"/>
      <c r="L64" s="9"/>
      <c r="M64" t="str">
        <f ca="1">IF(AND(L64&lt;TODAY(),I64&lt;&gt;"Complete",L64&lt;&gt;""),"YES","")</f>
        <v/>
      </c>
      <c r="N64" s="7" t="str">
        <f>IF(A64="","",SUMIF(DailyLog[Task ID],A64,DailyLog[Hours]))</f>
        <v/>
      </c>
      <c r="O64" s="8"/>
    </row>
    <row r="65" spans="1:15">
      <c r="A65" t="str">
        <f>IF(C65="","",COUNTIF(C$14:C65,"&lt;&gt;"))</f>
        <v/>
      </c>
      <c r="J65" s="16" t="str">
        <f>IF(I65="Complete",100,IF(I65="In Progress",50,IF(I65="Not Started",0,IF(I65="On Hold",0,IF(I65="Blocked",0,"")))))</f>
        <v/>
      </c>
      <c r="K65" s="9"/>
      <c r="L65" s="9"/>
      <c r="M65" t="str">
        <f ca="1">IF(AND(L65&lt;TODAY(),I65&lt;&gt;"Complete",L65&lt;&gt;""),"YES","")</f>
        <v/>
      </c>
      <c r="N65" s="7" t="str">
        <f>IF(A65="","",SUMIF(DailyLog[Task ID],A65,DailyLog[Hours]))</f>
        <v/>
      </c>
      <c r="O65" s="8"/>
    </row>
    <row r="66" spans="1:15">
      <c r="A66" t="str">
        <f>IF(C66="","",COUNTIF(C$14:C66,"&lt;&gt;"))</f>
        <v/>
      </c>
      <c r="J66" s="16" t="str">
        <f>IF(I66="Complete",100,IF(I66="In Progress",50,IF(I66="Not Started",0,IF(I66="On Hold",0,IF(I66="Blocked",0,"")))))</f>
        <v/>
      </c>
      <c r="K66" s="9"/>
      <c r="L66" s="9"/>
      <c r="M66" t="str">
        <f ca="1">IF(AND(L66&lt;TODAY(),I66&lt;&gt;"Complete",L66&lt;&gt;""),"YES","")</f>
        <v/>
      </c>
      <c r="N66" s="7" t="str">
        <f>IF(A66="","",SUMIF(DailyLog[Task ID],A66,DailyLog[Hours]))</f>
        <v/>
      </c>
      <c r="O66" s="8"/>
    </row>
    <row r="67" spans="1:15">
      <c r="A67" t="str">
        <f>IF(C67="","",COUNTIF(C$14:C67,"&lt;&gt;"))</f>
        <v/>
      </c>
      <c r="J67" s="16" t="str">
        <f>IF(I67="Complete",100,IF(I67="In Progress",50,IF(I67="Not Started",0,IF(I67="On Hold",0,IF(I67="Blocked",0,"")))))</f>
        <v/>
      </c>
      <c r="K67" s="9"/>
      <c r="L67" s="9"/>
      <c r="M67" t="str">
        <f ca="1">IF(AND(L67&lt;TODAY(),I67&lt;&gt;"Complete",L67&lt;&gt;""),"YES","")</f>
        <v/>
      </c>
      <c r="N67" s="7" t="str">
        <f>IF(A67="","",SUMIF(DailyLog[Task ID],A67,DailyLog[Hours]))</f>
        <v/>
      </c>
      <c r="O67" s="8"/>
    </row>
    <row r="68" spans="1:15">
      <c r="A68" t="str">
        <f>IF(C68="","",COUNTIF(C$14:C68,"&lt;&gt;"))</f>
        <v/>
      </c>
      <c r="J68" s="16" t="str">
        <f>IF(I68="Complete",100,IF(I68="In Progress",50,IF(I68="Not Started",0,IF(I68="On Hold",0,IF(I68="Blocked",0,"")))))</f>
        <v/>
      </c>
      <c r="K68" s="9"/>
      <c r="L68" s="9"/>
      <c r="M68" t="str">
        <f ca="1">IF(AND(L68&lt;TODAY(),I68&lt;&gt;"Complete",L68&lt;&gt;""),"YES","")</f>
        <v/>
      </c>
      <c r="N68" s="7" t="str">
        <f>IF(A68="","",SUMIF(DailyLog[Task ID],A68,DailyLog[Hours]))</f>
        <v/>
      </c>
      <c r="O68" s="8"/>
    </row>
    <row r="69" spans="1:15">
      <c r="A69" t="str">
        <f>IF(C69="","",COUNTIF(C$14:C69,"&lt;&gt;"))</f>
        <v/>
      </c>
      <c r="J69" s="16" t="str">
        <f>IF(I69="Complete",100,IF(I69="In Progress",50,IF(I69="Not Started",0,IF(I69="On Hold",0,IF(I69="Blocked",0,"")))))</f>
        <v/>
      </c>
      <c r="K69" s="9"/>
      <c r="L69" s="9"/>
      <c r="M69" t="str">
        <f ca="1">IF(AND(L69&lt;TODAY(),I69&lt;&gt;"Complete",L69&lt;&gt;""),"YES","")</f>
        <v/>
      </c>
      <c r="N69" s="7" t="str">
        <f>IF(A69="","",SUMIF(DailyLog[Task ID],A69,DailyLog[Hours]))</f>
        <v/>
      </c>
      <c r="O69" s="8"/>
    </row>
    <row r="70" spans="1:15">
      <c r="A70" t="str">
        <f>IF(C70="","",COUNTIF(C$14:C70,"&lt;&gt;"))</f>
        <v/>
      </c>
      <c r="J70" s="16" t="str">
        <f>IF(I70="Complete",100,IF(I70="In Progress",50,IF(I70="Not Started",0,IF(I70="On Hold",0,IF(I70="Blocked",0,"")))))</f>
        <v/>
      </c>
      <c r="K70" s="9"/>
      <c r="L70" s="9"/>
      <c r="M70" t="str">
        <f ca="1">IF(AND(L70&lt;TODAY(),I70&lt;&gt;"Complete",L70&lt;&gt;""),"YES","")</f>
        <v/>
      </c>
      <c r="N70" s="7" t="str">
        <f>IF(A70="","",SUMIF(DailyLog[Task ID],A70,DailyLog[Hours]))</f>
        <v/>
      </c>
      <c r="O70" s="8"/>
    </row>
    <row r="71" spans="1:15">
      <c r="A71" t="str">
        <f>IF(C71="","",COUNTIF(C$14:C71,"&lt;&gt;"))</f>
        <v/>
      </c>
      <c r="J71" s="16" t="str">
        <f>IF(I71="Complete",100,IF(I71="In Progress",50,IF(I71="Not Started",0,IF(I71="On Hold",0,IF(I71="Blocked",0,"")))))</f>
        <v/>
      </c>
      <c r="K71" s="9"/>
      <c r="L71" s="9"/>
      <c r="M71" t="str">
        <f ca="1">IF(AND(L71&lt;TODAY(),I71&lt;&gt;"Complete",L71&lt;&gt;""),"YES","")</f>
        <v/>
      </c>
      <c r="N71" s="7" t="str">
        <f>IF(A71="","",SUMIF(DailyLog[Task ID],A71,DailyLog[Hours]))</f>
        <v/>
      </c>
      <c r="O71" s="8"/>
    </row>
    <row r="72" spans="1:15">
      <c r="A72" t="str">
        <f>IF(C72="","",COUNTIF(C$14:C72,"&lt;&gt;"))</f>
        <v/>
      </c>
      <c r="J72" s="16" t="str">
        <f>IF(I72="Complete",100,IF(I72="In Progress",50,IF(I72="Not Started",0,IF(I72="On Hold",0,IF(I72="Blocked",0,"")))))</f>
        <v/>
      </c>
      <c r="K72" s="9"/>
      <c r="L72" s="9"/>
      <c r="M72" t="str">
        <f ca="1">IF(AND(L72&lt;TODAY(),I72&lt;&gt;"Complete",L72&lt;&gt;""),"YES","")</f>
        <v/>
      </c>
      <c r="N72" s="7" t="str">
        <f>IF(A72="","",SUMIF(DailyLog[Task ID],A72,DailyLog[Hours]))</f>
        <v/>
      </c>
      <c r="O72" s="8"/>
    </row>
    <row r="73" spans="1:15">
      <c r="A73" t="str">
        <f>IF(C73="","",COUNTIF(C$14:C73,"&lt;&gt;"))</f>
        <v/>
      </c>
      <c r="J73" s="16" t="str">
        <f>IF(I73="Complete",100,IF(I73="In Progress",50,IF(I73="Not Started",0,IF(I73="On Hold",0,IF(I73="Blocked",0,"")))))</f>
        <v/>
      </c>
      <c r="K73" s="9"/>
      <c r="L73" s="9"/>
      <c r="M73" t="str">
        <f ca="1">IF(AND(L73&lt;TODAY(),I73&lt;&gt;"Complete",L73&lt;&gt;""),"YES","")</f>
        <v/>
      </c>
      <c r="N73" s="7" t="str">
        <f>IF(A73="","",SUMIF(DailyLog[Task ID],A73,DailyLog[Hours]))</f>
        <v/>
      </c>
      <c r="O73" s="8"/>
    </row>
    <row r="74" spans="1:15">
      <c r="A74" t="str">
        <f>IF(C74="","",COUNTIF(C$14:C74,"&lt;&gt;"))</f>
        <v/>
      </c>
      <c r="J74" s="16" t="str">
        <f>IF(I74="Complete",100,IF(I74="In Progress",50,IF(I74="Not Started",0,IF(I74="On Hold",0,IF(I74="Blocked",0,"")))))</f>
        <v/>
      </c>
      <c r="K74" s="9"/>
      <c r="L74" s="9"/>
      <c r="M74" t="str">
        <f ca="1">IF(AND(L74&lt;TODAY(),I74&lt;&gt;"Complete",L74&lt;&gt;""),"YES","")</f>
        <v/>
      </c>
      <c r="N74" s="7" t="str">
        <f>IF(A74="","",SUMIF(DailyLog[Task ID],A74,DailyLog[Hours]))</f>
        <v/>
      </c>
      <c r="O74" s="8"/>
    </row>
    <row r="75" spans="1:15">
      <c r="A75" t="str">
        <f>IF(C75="","",COUNTIF(C$14:C75,"&lt;&gt;"))</f>
        <v/>
      </c>
      <c r="J75" s="16" t="str">
        <f>IF(I75="Complete",100,IF(I75="In Progress",50,IF(I75="Not Started",0,IF(I75="On Hold",0,IF(I75="Blocked",0,"")))))</f>
        <v/>
      </c>
      <c r="K75" s="9"/>
      <c r="L75" s="9"/>
      <c r="M75" t="str">
        <f ca="1">IF(AND(L75&lt;TODAY(),I75&lt;&gt;"Complete",L75&lt;&gt;""),"YES","")</f>
        <v/>
      </c>
      <c r="N75" s="7" t="str">
        <f>IF(A75="","",SUMIF(DailyLog[Task ID],A75,DailyLog[Hours]))</f>
        <v/>
      </c>
      <c r="O75" s="8"/>
    </row>
    <row r="76" spans="1:15">
      <c r="A76" t="str">
        <f>IF(C76="","",COUNTIF(C$14:C76,"&lt;&gt;"))</f>
        <v/>
      </c>
      <c r="J76" s="16" t="str">
        <f>IF(I76="Complete",100,IF(I76="In Progress",50,IF(I76="Not Started",0,IF(I76="On Hold",0,IF(I76="Blocked",0,"")))))</f>
        <v/>
      </c>
      <c r="K76" s="9"/>
      <c r="L76" s="9"/>
      <c r="M76" t="str">
        <f ca="1">IF(AND(L76&lt;TODAY(),I76&lt;&gt;"Complete",L76&lt;&gt;""),"YES","")</f>
        <v/>
      </c>
      <c r="N76" s="7" t="str">
        <f>IF(A76="","",SUMIF(DailyLog[Task ID],A76,DailyLog[Hours]))</f>
        <v/>
      </c>
      <c r="O76" s="8"/>
    </row>
    <row r="77" spans="1:15">
      <c r="A77" t="str">
        <f>IF(C77="","",COUNTIF(C$14:C77,"&lt;&gt;"))</f>
        <v/>
      </c>
      <c r="J77" s="16" t="str">
        <f>IF(I77="Complete",100,IF(I77="In Progress",50,IF(I77="Not Started",0,IF(I77="On Hold",0,IF(I77="Blocked",0,"")))))</f>
        <v/>
      </c>
      <c r="K77" s="9"/>
      <c r="L77" s="9"/>
      <c r="M77" t="str">
        <f ca="1">IF(AND(L77&lt;TODAY(),I77&lt;&gt;"Complete",L77&lt;&gt;""),"YES","")</f>
        <v/>
      </c>
      <c r="N77" s="7" t="str">
        <f>IF(A77="","",SUMIF(DailyLog[Task ID],A77,DailyLog[Hours]))</f>
        <v/>
      </c>
      <c r="O77" s="8"/>
    </row>
    <row r="78" spans="1:15">
      <c r="A78" t="str">
        <f>IF(C78="","",COUNTIF(C$14:C78,"&lt;&gt;"))</f>
        <v/>
      </c>
      <c r="J78" s="16" t="str">
        <f>IF(I78="Complete",100,IF(I78="In Progress",50,IF(I78="Not Started",0,IF(I78="On Hold",0,IF(I78="Blocked",0,"")))))</f>
        <v/>
      </c>
      <c r="K78" s="9"/>
      <c r="L78" s="9"/>
      <c r="M78" t="str">
        <f ca="1">IF(AND(L78&lt;TODAY(),I78&lt;&gt;"Complete",L78&lt;&gt;""),"YES","")</f>
        <v/>
      </c>
      <c r="N78" s="7" t="str">
        <f>IF(A78="","",SUMIF(DailyLog[Task ID],A78,DailyLog[Hours]))</f>
        <v/>
      </c>
      <c r="O78" s="8"/>
    </row>
    <row r="79" spans="1:15">
      <c r="A79" t="str">
        <f>IF(C79="","",COUNTIF(C$14:C79,"&lt;&gt;"))</f>
        <v/>
      </c>
      <c r="J79" s="16" t="str">
        <f>IF(I79="Complete",100,IF(I79="In Progress",50,IF(I79="Not Started",0,IF(I79="On Hold",0,IF(I79="Blocked",0,"")))))</f>
        <v/>
      </c>
      <c r="K79" s="9"/>
      <c r="L79" s="9"/>
      <c r="M79" t="str">
        <f ca="1">IF(AND(L79&lt;TODAY(),I79&lt;&gt;"Complete",L79&lt;&gt;""),"YES","")</f>
        <v/>
      </c>
      <c r="N79" s="7" t="str">
        <f>IF(A79="","",SUMIF(DailyLog[Task ID],A79,DailyLog[Hours]))</f>
        <v/>
      </c>
      <c r="O79" s="8"/>
    </row>
    <row r="80" spans="1:15">
      <c r="A80" t="str">
        <f>IF(C80="","",COUNTIF(C$14:C80,"&lt;&gt;"))</f>
        <v/>
      </c>
      <c r="J80" s="16" t="str">
        <f>IF(I80="Complete",100,IF(I80="In Progress",50,IF(I80="Not Started",0,IF(I80="On Hold",0,IF(I80="Blocked",0,"")))))</f>
        <v/>
      </c>
      <c r="K80" s="9"/>
      <c r="L80" s="9"/>
      <c r="M80" t="str">
        <f ca="1">IF(AND(L80&lt;TODAY(),I80&lt;&gt;"Complete",L80&lt;&gt;""),"YES","")</f>
        <v/>
      </c>
      <c r="N80" s="7" t="str">
        <f>IF(A80="","",SUMIF(DailyLog[Task ID],A80,DailyLog[Hours]))</f>
        <v/>
      </c>
      <c r="O80" s="8"/>
    </row>
    <row r="81" spans="1:15">
      <c r="A81" t="str">
        <f>IF(C81="","",COUNTIF(C$14:C81,"&lt;&gt;"))</f>
        <v/>
      </c>
      <c r="J81" s="16" t="str">
        <f>IF(I81="Complete",100,IF(I81="In Progress",50,IF(I81="Not Started",0,IF(I81="On Hold",0,IF(I81="Blocked",0,"")))))</f>
        <v/>
      </c>
      <c r="K81" s="9"/>
      <c r="L81" s="9"/>
      <c r="M81" t="str">
        <f ca="1">IF(AND(L81&lt;TODAY(),I81&lt;&gt;"Complete",L81&lt;&gt;""),"YES","")</f>
        <v/>
      </c>
      <c r="N81" s="7" t="str">
        <f>IF(A81="","",SUMIF(DailyLog[Task ID],A81,DailyLog[Hours]))</f>
        <v/>
      </c>
      <c r="O81" s="8"/>
    </row>
    <row r="82" spans="1:15">
      <c r="A82" t="str">
        <f>IF(C82="","",COUNTIF(C$14:C82,"&lt;&gt;"))</f>
        <v/>
      </c>
      <c r="J82" s="16" t="str">
        <f>IF(I82="Complete",100,IF(I82="In Progress",50,IF(I82="Not Started",0,IF(I82="On Hold",0,IF(I82="Blocked",0,"")))))</f>
        <v/>
      </c>
      <c r="K82" s="9"/>
      <c r="L82" s="9"/>
      <c r="M82" t="str">
        <f ca="1">IF(AND(L82&lt;TODAY(),I82&lt;&gt;"Complete",L82&lt;&gt;""),"YES","")</f>
        <v/>
      </c>
      <c r="N82" s="7" t="str">
        <f>IF(A82="","",SUMIF(DailyLog[Task ID],A82,DailyLog[Hours]))</f>
        <v/>
      </c>
      <c r="O82" s="8"/>
    </row>
    <row r="83" spans="1:15">
      <c r="A83" t="str">
        <f>IF(C83="","",COUNTIF(C$14:C83,"&lt;&gt;"))</f>
        <v/>
      </c>
      <c r="J83" s="16" t="str">
        <f>IF(I83="Complete",100,IF(I83="In Progress",50,IF(I83="Not Started",0,IF(I83="On Hold",0,IF(I83="Blocked",0,"")))))</f>
        <v/>
      </c>
      <c r="K83" s="9"/>
      <c r="L83" s="9"/>
      <c r="M83" t="str">
        <f ca="1">IF(AND(L83&lt;TODAY(),I83&lt;&gt;"Complete",L83&lt;&gt;""),"YES","")</f>
        <v/>
      </c>
      <c r="N83" s="7" t="str">
        <f>IF(A83="","",SUMIF(DailyLog[Task ID],A83,DailyLog[Hours]))</f>
        <v/>
      </c>
      <c r="O83" s="8"/>
    </row>
    <row r="84" spans="1:15">
      <c r="A84" t="str">
        <f>IF(C84="","",COUNTIF(C$14:C84,"&lt;&gt;"))</f>
        <v/>
      </c>
      <c r="J84" s="16" t="str">
        <f>IF(I84="Complete",100,IF(I84="In Progress",50,IF(I84="Not Started",0,IF(I84="On Hold",0,IF(I84="Blocked",0,"")))))</f>
        <v/>
      </c>
      <c r="K84" s="9"/>
      <c r="L84" s="9"/>
      <c r="M84" t="str">
        <f ca="1">IF(AND(L84&lt;TODAY(),I84&lt;&gt;"Complete",L84&lt;&gt;""),"YES","")</f>
        <v/>
      </c>
      <c r="N84" s="7" t="str">
        <f>IF(A84="","",SUMIF(DailyLog[Task ID],A84,DailyLog[Hours]))</f>
        <v/>
      </c>
      <c r="O84" s="8"/>
    </row>
    <row r="85" spans="1:15">
      <c r="A85" t="str">
        <f>IF(C85="","",COUNTIF(C$14:C85,"&lt;&gt;"))</f>
        <v/>
      </c>
      <c r="J85" s="16" t="str">
        <f>IF(I85="Complete",100,IF(I85="In Progress",50,IF(I85="Not Started",0,IF(I85="On Hold",0,IF(I85="Blocked",0,"")))))</f>
        <v/>
      </c>
      <c r="K85" s="9"/>
      <c r="L85" s="9"/>
      <c r="M85" t="str">
        <f ca="1">IF(AND(L85&lt;TODAY(),I85&lt;&gt;"Complete",L85&lt;&gt;""),"YES","")</f>
        <v/>
      </c>
      <c r="N85" s="7" t="str">
        <f>IF(A85="","",SUMIF(DailyLog[Task ID],A85,DailyLog[Hours]))</f>
        <v/>
      </c>
      <c r="O85" s="8"/>
    </row>
    <row r="86" spans="1:15">
      <c r="A86" t="str">
        <f>IF(C86="","",COUNTIF(C$14:C86,"&lt;&gt;"))</f>
        <v/>
      </c>
      <c r="J86" s="16" t="str">
        <f>IF(I86="Complete",100,IF(I86="In Progress",50,IF(I86="Not Started",0,IF(I86="On Hold",0,IF(I86="Blocked",0,"")))))</f>
        <v/>
      </c>
      <c r="K86" s="9"/>
      <c r="L86" s="9"/>
      <c r="M86" t="str">
        <f ca="1">IF(AND(L86&lt;TODAY(),I86&lt;&gt;"Complete",L86&lt;&gt;""),"YES","")</f>
        <v/>
      </c>
      <c r="N86" s="7" t="str">
        <f>IF(A86="","",SUMIF(DailyLog[Task ID],A86,DailyLog[Hours]))</f>
        <v/>
      </c>
      <c r="O86" s="8"/>
    </row>
    <row r="87" spans="1:15">
      <c r="A87" t="str">
        <f>IF(C87="","",COUNTIF(C$14:C87,"&lt;&gt;"))</f>
        <v/>
      </c>
      <c r="J87" s="16" t="str">
        <f>IF(I87="Complete",100,IF(I87="In Progress",50,IF(I87="Not Started",0,IF(I87="On Hold",0,IF(I87="Blocked",0,"")))))</f>
        <v/>
      </c>
      <c r="K87" s="9"/>
      <c r="L87" s="9"/>
      <c r="M87" t="str">
        <f ca="1">IF(AND(L87&lt;TODAY(),I87&lt;&gt;"Complete",L87&lt;&gt;""),"YES","")</f>
        <v/>
      </c>
      <c r="N87" s="7" t="str">
        <f>IF(A87="","",SUMIF(DailyLog[Task ID],A87,DailyLog[Hours]))</f>
        <v/>
      </c>
      <c r="O87" s="8"/>
    </row>
    <row r="88" spans="1:15">
      <c r="A88" t="str">
        <f>IF(C88="","",COUNTIF(C$14:C88,"&lt;&gt;"))</f>
        <v/>
      </c>
      <c r="J88" s="16" t="str">
        <f>IF(I88="Complete",100,IF(I88="In Progress",50,IF(I88="Not Started",0,IF(I88="On Hold",0,IF(I88="Blocked",0,"")))))</f>
        <v/>
      </c>
      <c r="K88" s="9"/>
      <c r="L88" s="9"/>
      <c r="M88" t="str">
        <f ca="1">IF(AND(L88&lt;TODAY(),I88&lt;&gt;"Complete",L88&lt;&gt;""),"YES","")</f>
        <v/>
      </c>
      <c r="N88" s="7" t="str">
        <f>IF(A88="","",SUMIF(DailyLog[Task ID],A88,DailyLog[Hours]))</f>
        <v/>
      </c>
      <c r="O88" s="8"/>
    </row>
    <row r="89" spans="1:15">
      <c r="A89" t="str">
        <f>IF(C89="","",COUNTIF(C$14:C89,"&lt;&gt;"))</f>
        <v/>
      </c>
      <c r="J89" s="16" t="str">
        <f>IF(I89="Complete",100,IF(I89="In Progress",50,IF(I89="Not Started",0,IF(I89="On Hold",0,IF(I89="Blocked",0,"")))))</f>
        <v/>
      </c>
      <c r="K89" s="9"/>
      <c r="L89" s="9"/>
      <c r="M89" t="str">
        <f ca="1">IF(AND(L89&lt;TODAY(),I89&lt;&gt;"Complete",L89&lt;&gt;""),"YES","")</f>
        <v/>
      </c>
      <c r="N89" s="7" t="str">
        <f>IF(A89="","",SUMIF(DailyLog[Task ID],A89,DailyLog[Hours]))</f>
        <v/>
      </c>
      <c r="O89" s="8"/>
    </row>
    <row r="90" spans="1:15">
      <c r="A90" t="str">
        <f>IF(C90="","",COUNTIF(C$14:C90,"&lt;&gt;"))</f>
        <v/>
      </c>
      <c r="J90" s="16" t="str">
        <f>IF(I90="Complete",100,IF(I90="In Progress",50,IF(I90="Not Started",0,IF(I90="On Hold",0,IF(I90="Blocked",0,"")))))</f>
        <v/>
      </c>
      <c r="K90" s="9"/>
      <c r="L90" s="9"/>
      <c r="M90" t="str">
        <f ca="1">IF(AND(L90&lt;TODAY(),I90&lt;&gt;"Complete",L90&lt;&gt;""),"YES","")</f>
        <v/>
      </c>
      <c r="N90" s="7" t="str">
        <f>IF(A90="","",SUMIF(DailyLog[Task ID],A90,DailyLog[Hours]))</f>
        <v/>
      </c>
      <c r="O90" s="8"/>
    </row>
    <row r="91" spans="1:15">
      <c r="A91" t="str">
        <f>IF(C91="","",COUNTIF(C$14:C91,"&lt;&gt;"))</f>
        <v/>
      </c>
      <c r="J91" s="16" t="str">
        <f>IF(I91="Complete",100,IF(I91="In Progress",50,IF(I91="Not Started",0,IF(I91="On Hold",0,IF(I91="Blocked",0,"")))))</f>
        <v/>
      </c>
      <c r="K91" s="9"/>
      <c r="L91" s="9"/>
      <c r="M91" t="str">
        <f ca="1">IF(AND(L91&lt;TODAY(),I91&lt;&gt;"Complete",L91&lt;&gt;""),"YES","")</f>
        <v/>
      </c>
      <c r="N91" s="7" t="str">
        <f>IF(A91="","",SUMIF(DailyLog[Task ID],A91,DailyLog[Hours]))</f>
        <v/>
      </c>
      <c r="O91" s="8"/>
    </row>
    <row r="92" spans="1:15">
      <c r="A92" t="str">
        <f>IF(C92="","",COUNTIF(C$14:C92,"&lt;&gt;"))</f>
        <v/>
      </c>
      <c r="J92" s="16" t="str">
        <f>IF(I92="Complete",100,IF(I92="In Progress",50,IF(I92="Not Started",0,IF(I92="On Hold",0,IF(I92="Blocked",0,"")))))</f>
        <v/>
      </c>
      <c r="K92" s="9"/>
      <c r="L92" s="9"/>
      <c r="M92" t="str">
        <f ca="1">IF(AND(L92&lt;TODAY(),I92&lt;&gt;"Complete",L92&lt;&gt;""),"YES","")</f>
        <v/>
      </c>
      <c r="N92" s="7" t="str">
        <f>IF(A92="","",SUMIF(DailyLog[Task ID],A92,DailyLog[Hours]))</f>
        <v/>
      </c>
      <c r="O92" s="8"/>
    </row>
    <row r="93" spans="1:15">
      <c r="A93" t="str">
        <f>IF(C93="","",COUNTIF(C$14:C93,"&lt;&gt;"))</f>
        <v/>
      </c>
      <c r="J93" s="16" t="str">
        <f>IF(I93="Complete",100,IF(I93="In Progress",50,IF(I93="Not Started",0,IF(I93="On Hold",0,IF(I93="Blocked",0,"")))))</f>
        <v/>
      </c>
      <c r="K93" s="9"/>
      <c r="L93" s="9"/>
      <c r="M93" t="str">
        <f ca="1">IF(AND(L93&lt;TODAY(),I93&lt;&gt;"Complete",L93&lt;&gt;""),"YES","")</f>
        <v/>
      </c>
      <c r="N93" s="7" t="str">
        <f>IF(A93="","",SUMIF(DailyLog[Task ID],A93,DailyLog[Hours]))</f>
        <v/>
      </c>
      <c r="O93" s="8"/>
    </row>
    <row r="94" spans="1:15">
      <c r="A94" t="str">
        <f>IF(C94="","",COUNTIF(C$14:C94,"&lt;&gt;"))</f>
        <v/>
      </c>
      <c r="J94" s="16" t="str">
        <f>IF(I94="Complete",100,IF(I94="In Progress",50,IF(I94="Not Started",0,IF(I94="On Hold",0,IF(I94="Blocked",0,"")))))</f>
        <v/>
      </c>
      <c r="K94" s="9"/>
      <c r="L94" s="9"/>
      <c r="M94" t="str">
        <f ca="1">IF(AND(L94&lt;TODAY(),I94&lt;&gt;"Complete",L94&lt;&gt;""),"YES","")</f>
        <v/>
      </c>
      <c r="N94" s="7" t="str">
        <f>IF(A94="","",SUMIF(DailyLog[Task ID],A94,DailyLog[Hours]))</f>
        <v/>
      </c>
      <c r="O94" s="8"/>
    </row>
    <row r="95" spans="1:15">
      <c r="A95" t="str">
        <f>IF(C95="","",COUNTIF(C$14:C95,"&lt;&gt;"))</f>
        <v/>
      </c>
      <c r="J95" s="16" t="str">
        <f>IF(I95="Complete",100,IF(I95="In Progress",50,IF(I95="Not Started",0,IF(I95="On Hold",0,IF(I95="Blocked",0,"")))))</f>
        <v/>
      </c>
      <c r="K95" s="9"/>
      <c r="L95" s="9"/>
      <c r="M95" t="str">
        <f ca="1">IF(AND(L95&lt;TODAY(),I95&lt;&gt;"Complete",L95&lt;&gt;""),"YES","")</f>
        <v/>
      </c>
      <c r="N95" s="7" t="str">
        <f>IF(A95="","",SUMIF(DailyLog[Task ID],A95,DailyLog[Hours]))</f>
        <v/>
      </c>
      <c r="O95" s="8"/>
    </row>
    <row r="96" spans="1:15">
      <c r="A96" t="str">
        <f>IF(C96="","",COUNTIF(C$14:C96,"&lt;&gt;"))</f>
        <v/>
      </c>
      <c r="J96" s="16" t="str">
        <f>IF(I96="Complete",100,IF(I96="In Progress",50,IF(I96="Not Started",0,IF(I96="On Hold",0,IF(I96="Blocked",0,"")))))</f>
        <v/>
      </c>
      <c r="K96" s="9"/>
      <c r="L96" s="9"/>
      <c r="M96" t="str">
        <f ca="1">IF(AND(L96&lt;TODAY(),I96&lt;&gt;"Complete",L96&lt;&gt;""),"YES","")</f>
        <v/>
      </c>
      <c r="N96" s="7" t="str">
        <f>IF(A96="","",SUMIF(DailyLog[Task ID],A96,DailyLog[Hours]))</f>
        <v/>
      </c>
      <c r="O96" s="8"/>
    </row>
    <row r="97" spans="1:15">
      <c r="A97" t="str">
        <f>IF(C97="","",COUNTIF(C$14:C97,"&lt;&gt;"))</f>
        <v/>
      </c>
      <c r="J97" s="16" t="str">
        <f>IF(I97="Complete",100,IF(I97="In Progress",50,IF(I97="Not Started",0,IF(I97="On Hold",0,IF(I97="Blocked",0,"")))))</f>
        <v/>
      </c>
      <c r="K97" s="9"/>
      <c r="L97" s="9"/>
      <c r="M97" t="str">
        <f ca="1">IF(AND(L97&lt;TODAY(),I97&lt;&gt;"Complete",L97&lt;&gt;""),"YES","")</f>
        <v/>
      </c>
      <c r="N97" s="7" t="str">
        <f>IF(A97="","",SUMIF(DailyLog[Task ID],A97,DailyLog[Hours]))</f>
        <v/>
      </c>
      <c r="O97" s="8"/>
    </row>
    <row r="98" spans="1:15">
      <c r="A98" t="str">
        <f>IF(C98="","",COUNTIF(C$14:C98,"&lt;&gt;"))</f>
        <v/>
      </c>
      <c r="J98" s="16" t="str">
        <f>IF(I98="Complete",100,IF(I98="In Progress",50,IF(I98="Not Started",0,IF(I98="On Hold",0,IF(I98="Blocked",0,"")))))</f>
        <v/>
      </c>
      <c r="K98" s="9"/>
      <c r="L98" s="9"/>
      <c r="M98" t="str">
        <f ca="1">IF(AND(L98&lt;TODAY(),I98&lt;&gt;"Complete",L98&lt;&gt;""),"YES","")</f>
        <v/>
      </c>
      <c r="N98" s="7" t="str">
        <f>IF(A98="","",SUMIF(DailyLog[Task ID],A98,DailyLog[Hours]))</f>
        <v/>
      </c>
      <c r="O98" s="8"/>
    </row>
    <row r="99" spans="1:15">
      <c r="A99" t="str">
        <f>IF(C99="","",COUNTIF(C$14:C99,"&lt;&gt;"))</f>
        <v/>
      </c>
      <c r="J99" s="16" t="str">
        <f>IF(I99="Complete",100,IF(I99="In Progress",50,IF(I99="Not Started",0,IF(I99="On Hold",0,IF(I99="Blocked",0,"")))))</f>
        <v/>
      </c>
      <c r="K99" s="9"/>
      <c r="L99" s="9"/>
      <c r="M99" t="str">
        <f ca="1">IF(AND(L99&lt;TODAY(),I99&lt;&gt;"Complete",L99&lt;&gt;""),"YES","")</f>
        <v/>
      </c>
      <c r="N99" s="7" t="str">
        <f>IF(A99="","",SUMIF(DailyLog[Task ID],A99,DailyLog[Hours]))</f>
        <v/>
      </c>
      <c r="O99" s="8"/>
    </row>
    <row r="100" spans="1:15">
      <c r="A100" t="str">
        <f>IF(C100="","",COUNTIF(C$14:C100,"&lt;&gt;"))</f>
        <v/>
      </c>
      <c r="J100" s="16" t="str">
        <f>IF(I100="Complete",100,IF(I100="In Progress",50,IF(I100="Not Started",0,IF(I100="On Hold",0,IF(I100="Blocked",0,"")))))</f>
        <v/>
      </c>
      <c r="K100" s="9"/>
      <c r="L100" s="9"/>
      <c r="M100" t="str">
        <f ca="1">IF(AND(L100&lt;TODAY(),I100&lt;&gt;"Complete",L100&lt;&gt;""),"YES","")</f>
        <v/>
      </c>
      <c r="N100" s="7" t="str">
        <f>IF(A100="","",SUMIF(DailyLog[Task ID],A100,DailyLog[Hours]))</f>
        <v/>
      </c>
      <c r="O100" s="8"/>
    </row>
    <row r="101" spans="1:15">
      <c r="A101" t="str">
        <f>IF(C101="","",COUNTIF(C$14:C101,"&lt;&gt;"))</f>
        <v/>
      </c>
      <c r="J101" s="16" t="str">
        <f>IF(I101="Complete",100,IF(I101="In Progress",50,IF(I101="Not Started",0,IF(I101="On Hold",0,IF(I101="Blocked",0,"")))))</f>
        <v/>
      </c>
      <c r="K101" s="9"/>
      <c r="L101" s="9"/>
      <c r="M101" t="str">
        <f ca="1">IF(AND(L101&lt;TODAY(),I101&lt;&gt;"Complete",L101&lt;&gt;""),"YES","")</f>
        <v/>
      </c>
      <c r="N101" s="7" t="str">
        <f>IF(A101="","",SUMIF(DailyLog[Task ID],A101,DailyLog[Hours]))</f>
        <v/>
      </c>
      <c r="O101" s="8"/>
    </row>
    <row r="102" spans="1:15">
      <c r="A102" t="str">
        <f>IF(C102="","",COUNTIF(C$14:C102,"&lt;&gt;"))</f>
        <v/>
      </c>
      <c r="J102" s="16" t="str">
        <f>IF(I102="Complete",100,IF(I102="In Progress",50,IF(I102="Not Started",0,IF(I102="On Hold",0,IF(I102="Blocked",0,"")))))</f>
        <v/>
      </c>
      <c r="K102" s="9"/>
      <c r="L102" s="9"/>
      <c r="M102" t="str">
        <f ca="1">IF(AND(L102&lt;TODAY(),I102&lt;&gt;"Complete",L102&lt;&gt;""),"YES","")</f>
        <v/>
      </c>
      <c r="N102" s="7" t="str">
        <f>IF(A102="","",SUMIF(DailyLog[Task ID],A102,DailyLog[Hours]))</f>
        <v/>
      </c>
      <c r="O102" s="8"/>
    </row>
    <row r="103" spans="1:15">
      <c r="A103" t="str">
        <f>IF(C103="","",COUNTIF(C$14:C103,"&lt;&gt;"))</f>
        <v/>
      </c>
      <c r="J103" s="16" t="str">
        <f>IF(I103="Complete",100,IF(I103="In Progress",50,IF(I103="Not Started",0,IF(I103="On Hold",0,IF(I103="Blocked",0,"")))))</f>
        <v/>
      </c>
      <c r="K103" s="9"/>
      <c r="L103" s="9"/>
      <c r="M103" t="str">
        <f ca="1">IF(AND(L103&lt;TODAY(),I103&lt;&gt;"Complete",L103&lt;&gt;""),"YES","")</f>
        <v/>
      </c>
      <c r="N103" s="7" t="str">
        <f>IF(A103="","",SUMIF(DailyLog[Task ID],A103,DailyLog[Hours]))</f>
        <v/>
      </c>
      <c r="O103" s="8"/>
    </row>
    <row r="104" spans="1:15">
      <c r="A104" t="str">
        <f>IF(C104="","",COUNTIF(C$14:C104,"&lt;&gt;"))</f>
        <v/>
      </c>
      <c r="J104" s="16" t="str">
        <f>IF(I104="Complete",100,IF(I104="In Progress",50,IF(I104="Not Started",0,IF(I104="On Hold",0,IF(I104="Blocked",0,"")))))</f>
        <v/>
      </c>
      <c r="K104" s="9"/>
      <c r="L104" s="9"/>
      <c r="M104" t="str">
        <f ca="1">IF(AND(L104&lt;TODAY(),I104&lt;&gt;"Complete",L104&lt;&gt;""),"YES","")</f>
        <v/>
      </c>
      <c r="N104" s="7" t="str">
        <f>IF(A104="","",SUMIF(DailyLog[Task ID],A104,DailyLog[Hours]))</f>
        <v/>
      </c>
      <c r="O104" s="8"/>
    </row>
    <row r="105" spans="1:15">
      <c r="A105" t="str">
        <f>IF(C105="","",COUNTIF(C$14:C105,"&lt;&gt;"))</f>
        <v/>
      </c>
      <c r="J105" s="16" t="str">
        <f>IF(I105="Complete",100,IF(I105="In Progress",50,IF(I105="Not Started",0,IF(I105="On Hold",0,IF(I105="Blocked",0,"")))))</f>
        <v/>
      </c>
      <c r="K105" s="9"/>
      <c r="L105" s="9"/>
      <c r="M105" t="str">
        <f ca="1">IF(AND(L105&lt;TODAY(),I105&lt;&gt;"Complete",L105&lt;&gt;""),"YES","")</f>
        <v/>
      </c>
      <c r="N105" s="7" t="str">
        <f>IF(A105="","",SUMIF(DailyLog[Task ID],A105,DailyLog[Hours]))</f>
        <v/>
      </c>
      <c r="O105" s="8"/>
    </row>
    <row r="106" spans="1:15">
      <c r="A106" t="str">
        <f>IF(C106="","",COUNTIF(C$14:C106,"&lt;&gt;"))</f>
        <v/>
      </c>
      <c r="J106" s="16" t="str">
        <f>IF(I106="Complete",100,IF(I106="In Progress",50,IF(I106="Not Started",0,IF(I106="On Hold",0,IF(I106="Blocked",0,"")))))</f>
        <v/>
      </c>
      <c r="K106" s="9"/>
      <c r="L106" s="9"/>
      <c r="M106" t="str">
        <f ca="1">IF(AND(L106&lt;TODAY(),I106&lt;&gt;"Complete",L106&lt;&gt;""),"YES","")</f>
        <v/>
      </c>
      <c r="N106" s="7" t="str">
        <f>IF(A106="","",SUMIF(DailyLog[Task ID],A106,DailyLog[Hours]))</f>
        <v/>
      </c>
      <c r="O106" s="8"/>
    </row>
    <row r="107" spans="1:15">
      <c r="A107" t="str">
        <f>IF(C107="","",COUNTIF(C$14:C107,"&lt;&gt;"))</f>
        <v/>
      </c>
      <c r="J107" s="16" t="str">
        <f>IF(I107="Complete",100,IF(I107="In Progress",50,IF(I107="Not Started",0,IF(I107="On Hold",0,IF(I107="Blocked",0,"")))))</f>
        <v/>
      </c>
      <c r="K107" s="9"/>
      <c r="L107" s="9"/>
      <c r="M107" t="str">
        <f ca="1">IF(AND(L107&lt;TODAY(),I107&lt;&gt;"Complete",L107&lt;&gt;""),"YES","")</f>
        <v/>
      </c>
      <c r="N107" s="7" t="str">
        <f>IF(A107="","",SUMIF(DailyLog[Task ID],A107,DailyLog[Hours]))</f>
        <v/>
      </c>
      <c r="O107" s="8"/>
    </row>
    <row r="108" spans="1:15">
      <c r="A108" t="str">
        <f>IF(C108="","",COUNTIF(C$14:C108,"&lt;&gt;"))</f>
        <v/>
      </c>
      <c r="J108" s="16" t="str">
        <f>IF(I108="Complete",100,IF(I108="In Progress",50,IF(I108="Not Started",0,IF(I108="On Hold",0,IF(I108="Blocked",0,"")))))</f>
        <v/>
      </c>
      <c r="K108" s="9"/>
      <c r="L108" s="9"/>
      <c r="M108" t="str">
        <f ca="1">IF(AND(L108&lt;TODAY(),I108&lt;&gt;"Complete",L108&lt;&gt;""),"YES","")</f>
        <v/>
      </c>
      <c r="N108" s="7" t="str">
        <f>IF(A108="","",SUMIF(DailyLog[Task ID],A108,DailyLog[Hours]))</f>
        <v/>
      </c>
      <c r="O108" s="8"/>
    </row>
    <row r="109" spans="1:15">
      <c r="A109" t="str">
        <f>IF(C109="","",COUNTIF(C$14:C109,"&lt;&gt;"))</f>
        <v/>
      </c>
      <c r="J109" s="16" t="str">
        <f>IF(I109="Complete",100,IF(I109="In Progress",50,IF(I109="Not Started",0,IF(I109="On Hold",0,IF(I109="Blocked",0,"")))))</f>
        <v/>
      </c>
      <c r="K109" s="9"/>
      <c r="L109" s="9"/>
      <c r="M109" t="str">
        <f ca="1">IF(AND(L109&lt;TODAY(),I109&lt;&gt;"Complete",L109&lt;&gt;""),"YES","")</f>
        <v/>
      </c>
      <c r="N109" s="7" t="str">
        <f>IF(A109="","",SUMIF(DailyLog[Task ID],A109,DailyLog[Hours]))</f>
        <v/>
      </c>
      <c r="O109" s="8"/>
    </row>
    <row r="110" spans="1:15">
      <c r="A110" t="str">
        <f>IF(C110="","",COUNTIF(C$14:C110,"&lt;&gt;"))</f>
        <v/>
      </c>
      <c r="J110" s="16" t="str">
        <f>IF(I110="Complete",100,IF(I110="In Progress",50,IF(I110="Not Started",0,IF(I110="On Hold",0,IF(I110="Blocked",0,"")))))</f>
        <v/>
      </c>
      <c r="K110" s="9"/>
      <c r="L110" s="9"/>
      <c r="M110" t="str">
        <f ca="1">IF(AND(L110&lt;TODAY(),I110&lt;&gt;"Complete",L110&lt;&gt;""),"YES","")</f>
        <v/>
      </c>
      <c r="N110" s="7" t="str">
        <f>IF(A110="","",SUMIF(DailyLog[Task ID],A110,DailyLog[Hours]))</f>
        <v/>
      </c>
      <c r="O110" s="8"/>
    </row>
    <row r="111" spans="1:15">
      <c r="A111" t="str">
        <f>IF(C111="","",COUNTIF(C$14:C111,"&lt;&gt;"))</f>
        <v/>
      </c>
      <c r="J111" s="16" t="str">
        <f>IF(I111="Complete",100,IF(I111="In Progress",50,IF(I111="Not Started",0,IF(I111="On Hold",0,IF(I111="Blocked",0,"")))))</f>
        <v/>
      </c>
      <c r="K111" s="9"/>
      <c r="L111" s="9"/>
      <c r="M111" t="str">
        <f ca="1">IF(AND(L111&lt;TODAY(),I111&lt;&gt;"Complete",L111&lt;&gt;""),"YES","")</f>
        <v/>
      </c>
      <c r="N111" s="7" t="str">
        <f>IF(A111="","",SUMIF(DailyLog[Task ID],A111,DailyLog[Hours]))</f>
        <v/>
      </c>
      <c r="O111" s="8"/>
    </row>
    <row r="112" spans="1:15">
      <c r="A112" t="str">
        <f>IF(C112="","",COUNTIF(C$14:C112,"&lt;&gt;"))</f>
        <v/>
      </c>
      <c r="J112" s="16" t="str">
        <f>IF(I112="Complete",100,IF(I112="In Progress",50,IF(I112="Not Started",0,IF(I112="On Hold",0,IF(I112="Blocked",0,"")))))</f>
        <v/>
      </c>
      <c r="K112" s="9"/>
      <c r="L112" s="9"/>
      <c r="M112" t="str">
        <f ca="1">IF(AND(L112&lt;TODAY(),I112&lt;&gt;"Complete",L112&lt;&gt;""),"YES","")</f>
        <v/>
      </c>
      <c r="N112" s="7" t="str">
        <f>IF(A112="","",SUMIF(DailyLog[Task ID],A112,DailyLog[Hours]))</f>
        <v/>
      </c>
      <c r="O112" s="8"/>
    </row>
    <row r="113" spans="1:15">
      <c r="A113" t="str">
        <f>IF(C113="","",COUNTIF(C$14:C113,"&lt;&gt;"))</f>
        <v/>
      </c>
      <c r="J113" s="16" t="str">
        <f>IF(I113="Complete",100,IF(I113="In Progress",50,IF(I113="Not Started",0,IF(I113="On Hold",0,IF(I113="Blocked",0,"")))))</f>
        <v/>
      </c>
      <c r="K113" s="9"/>
      <c r="L113" s="9"/>
      <c r="M113" t="str">
        <f ca="1">IF(AND(L113&lt;TODAY(),I113&lt;&gt;"Complete",L113&lt;&gt;""),"YES","")</f>
        <v/>
      </c>
      <c r="N113" s="7" t="str">
        <f>IF(A113="","",SUMIF(DailyLog[Task ID],A113,DailyLog[Hours]))</f>
        <v/>
      </c>
      <c r="O113" s="8"/>
    </row>
    <row r="114" spans="1:15">
      <c r="A114" t="str">
        <f>IF(C114="","",COUNTIF(C$14:C114,"&lt;&gt;"))</f>
        <v/>
      </c>
      <c r="J114" s="16" t="str">
        <f>IF(I114="Complete",100,IF(I114="In Progress",50,IF(I114="Not Started",0,IF(I114="On Hold",0,IF(I114="Blocked",0,"")))))</f>
        <v/>
      </c>
      <c r="K114" s="9"/>
      <c r="L114" s="9"/>
      <c r="M114" t="str">
        <f ca="1">IF(AND(L114&lt;TODAY(),I114&lt;&gt;"Complete",L114&lt;&gt;""),"YES","")</f>
        <v/>
      </c>
      <c r="N114" s="7" t="str">
        <f>IF(A114="","",SUMIF(DailyLog[Task ID],A114,DailyLog[Hours]))</f>
        <v/>
      </c>
      <c r="O114" s="8"/>
    </row>
    <row r="115" spans="1:15">
      <c r="A115" t="str">
        <f>IF(C115="","",COUNTIF(C$14:C115,"&lt;&gt;"))</f>
        <v/>
      </c>
      <c r="J115" s="16" t="str">
        <f>IF(I115="Complete",100,IF(I115="In Progress",50,IF(I115="Not Started",0,IF(I115="On Hold",0,IF(I115="Blocked",0,"")))))</f>
        <v/>
      </c>
      <c r="K115" s="9"/>
      <c r="L115" s="9"/>
      <c r="M115" t="str">
        <f ca="1">IF(AND(L115&lt;TODAY(),I115&lt;&gt;"Complete",L115&lt;&gt;""),"YES","")</f>
        <v/>
      </c>
      <c r="N115" s="7" t="str">
        <f>IF(A115="","",SUMIF(DailyLog[Task ID],A115,DailyLog[Hours]))</f>
        <v/>
      </c>
      <c r="O115" s="8"/>
    </row>
    <row r="116" spans="1:15">
      <c r="A116" t="str">
        <f>IF(C116="","",COUNTIF(C$14:C116,"&lt;&gt;"))</f>
        <v/>
      </c>
      <c r="J116" s="16" t="str">
        <f>IF(I116="Complete",100,IF(I116="In Progress",50,IF(I116="Not Started",0,IF(I116="On Hold",0,IF(I116="Blocked",0,"")))))</f>
        <v/>
      </c>
      <c r="K116" s="9"/>
      <c r="L116" s="9"/>
      <c r="M116" t="str">
        <f ca="1">IF(AND(L116&lt;TODAY(),I116&lt;&gt;"Complete",L116&lt;&gt;""),"YES","")</f>
        <v/>
      </c>
      <c r="N116" s="7" t="str">
        <f>IF(A116="","",SUMIF(DailyLog[Task ID],A116,DailyLog[Hours]))</f>
        <v/>
      </c>
      <c r="O116" s="8"/>
    </row>
    <row r="117" spans="1:15">
      <c r="A117" t="str">
        <f>IF(C117="","",COUNTIF(C$14:C117,"&lt;&gt;"))</f>
        <v/>
      </c>
      <c r="J117" s="16" t="str">
        <f>IF(I117="Complete",100,IF(I117="In Progress",50,IF(I117="Not Started",0,IF(I117="On Hold",0,IF(I117="Blocked",0,"")))))</f>
        <v/>
      </c>
      <c r="K117" s="9"/>
      <c r="L117" s="9"/>
      <c r="M117" t="str">
        <f ca="1">IF(AND(L117&lt;TODAY(),I117&lt;&gt;"Complete",L117&lt;&gt;""),"YES","")</f>
        <v/>
      </c>
      <c r="N117" s="7" t="str">
        <f>IF(A117="","",SUMIF(DailyLog[Task ID],A117,DailyLog[Hours]))</f>
        <v/>
      </c>
      <c r="O117" s="8"/>
    </row>
    <row r="118" spans="1:15">
      <c r="A118" t="str">
        <f>IF(C118="","",COUNTIF(C$14:C118,"&lt;&gt;"))</f>
        <v/>
      </c>
      <c r="J118" s="16" t="str">
        <f>IF(I118="Complete",100,IF(I118="In Progress",50,IF(I118="Not Started",0,IF(I118="On Hold",0,IF(I118="Blocked",0,"")))))</f>
        <v/>
      </c>
      <c r="K118" s="9"/>
      <c r="L118" s="9"/>
      <c r="M118" t="str">
        <f ca="1">IF(AND(L118&lt;TODAY(),I118&lt;&gt;"Complete",L118&lt;&gt;""),"YES","")</f>
        <v/>
      </c>
      <c r="N118" s="7" t="str">
        <f>IF(A118="","",SUMIF(DailyLog[Task ID],A118,DailyLog[Hours]))</f>
        <v/>
      </c>
      <c r="O118" s="8"/>
    </row>
    <row r="119" spans="1:15">
      <c r="A119" t="str">
        <f>IF(C119="","",COUNTIF(C$14:C119,"&lt;&gt;"))</f>
        <v/>
      </c>
      <c r="J119" s="16" t="str">
        <f>IF(I119="Complete",100,IF(I119="In Progress",50,IF(I119="Not Started",0,IF(I119="On Hold",0,IF(I119="Blocked",0,"")))))</f>
        <v/>
      </c>
      <c r="K119" s="9"/>
      <c r="L119" s="9"/>
      <c r="M119" t="str">
        <f ca="1">IF(AND(L119&lt;TODAY(),I119&lt;&gt;"Complete",L119&lt;&gt;""),"YES","")</f>
        <v/>
      </c>
      <c r="N119" s="7" t="str">
        <f>IF(A119="","",SUMIF(DailyLog[Task ID],A119,DailyLog[Hours]))</f>
        <v/>
      </c>
      <c r="O119" s="8"/>
    </row>
    <row r="120" spans="1:15">
      <c r="A120" t="str">
        <f>IF(C120="","",COUNTIF(C$14:C120,"&lt;&gt;"))</f>
        <v/>
      </c>
      <c r="J120" s="16" t="str">
        <f>IF(I120="Complete",100,IF(I120="In Progress",50,IF(I120="Not Started",0,IF(I120="On Hold",0,IF(I120="Blocked",0,"")))))</f>
        <v/>
      </c>
      <c r="K120" s="9"/>
      <c r="L120" s="9"/>
      <c r="M120" t="str">
        <f ca="1">IF(AND(L120&lt;TODAY(),I120&lt;&gt;"Complete",L120&lt;&gt;""),"YES","")</f>
        <v/>
      </c>
      <c r="N120" s="7" t="str">
        <f>IF(A120="","",SUMIF(DailyLog[Task ID],A120,DailyLog[Hours]))</f>
        <v/>
      </c>
      <c r="O120" s="8"/>
    </row>
    <row r="121" spans="1:15">
      <c r="A121" t="str">
        <f>IF(C121="","",COUNTIF(C$14:C121,"&lt;&gt;"))</f>
        <v/>
      </c>
      <c r="J121" s="16" t="str">
        <f>IF(I121="Complete",100,IF(I121="In Progress",50,IF(I121="Not Started",0,IF(I121="On Hold",0,IF(I121="Blocked",0,"")))))</f>
        <v/>
      </c>
      <c r="K121" s="9"/>
      <c r="L121" s="9"/>
      <c r="M121" t="str">
        <f ca="1">IF(AND(L121&lt;TODAY(),I121&lt;&gt;"Complete",L121&lt;&gt;""),"YES","")</f>
        <v/>
      </c>
      <c r="N121" s="7" t="str">
        <f>IF(A121="","",SUMIF(DailyLog[Task ID],A121,DailyLog[Hours]))</f>
        <v/>
      </c>
      <c r="O121" s="8"/>
    </row>
    <row r="122" spans="1:15">
      <c r="A122" t="str">
        <f>IF(C122="","",COUNTIF(C$14:C122,"&lt;&gt;"))</f>
        <v/>
      </c>
      <c r="J122" s="16" t="str">
        <f>IF(I122="Complete",100,IF(I122="In Progress",50,IF(I122="Not Started",0,IF(I122="On Hold",0,IF(I122="Blocked",0,"")))))</f>
        <v/>
      </c>
      <c r="K122" s="9"/>
      <c r="L122" s="9"/>
      <c r="M122" t="str">
        <f ca="1">IF(AND(L122&lt;TODAY(),I122&lt;&gt;"Complete",L122&lt;&gt;""),"YES","")</f>
        <v/>
      </c>
      <c r="N122" s="7" t="str">
        <f>IF(A122="","",SUMIF(DailyLog[Task ID],A122,DailyLog[Hours]))</f>
        <v/>
      </c>
      <c r="O122" s="8"/>
    </row>
    <row r="123" spans="1:15">
      <c r="A123" t="str">
        <f>IF(C123="","",COUNTIF(C$14:C123,"&lt;&gt;"))</f>
        <v/>
      </c>
      <c r="J123" s="16" t="str">
        <f>IF(I123="Complete",100,IF(I123="In Progress",50,IF(I123="Not Started",0,IF(I123="On Hold",0,IF(I123="Blocked",0,"")))))</f>
        <v/>
      </c>
      <c r="K123" s="9"/>
      <c r="L123" s="9"/>
      <c r="M123" t="str">
        <f ca="1">IF(AND(L123&lt;TODAY(),I123&lt;&gt;"Complete",L123&lt;&gt;""),"YES","")</f>
        <v/>
      </c>
      <c r="N123" s="7" t="str">
        <f>IF(A123="","",SUMIF(DailyLog[Task ID],A123,DailyLog[Hours]))</f>
        <v/>
      </c>
      <c r="O123" s="8"/>
    </row>
    <row r="124" spans="1:15">
      <c r="A124" t="str">
        <f>IF(C124="","",COUNTIF(C$14:C124,"&lt;&gt;"))</f>
        <v/>
      </c>
      <c r="J124" s="16" t="str">
        <f>IF(I124="Complete",100,IF(I124="In Progress",50,IF(I124="Not Started",0,IF(I124="On Hold",0,IF(I124="Blocked",0,"")))))</f>
        <v/>
      </c>
      <c r="K124" s="9"/>
      <c r="L124" s="9"/>
      <c r="M124" t="str">
        <f ca="1">IF(AND(L124&lt;TODAY(),I124&lt;&gt;"Complete",L124&lt;&gt;""),"YES","")</f>
        <v/>
      </c>
      <c r="N124" s="7" t="str">
        <f>IF(A124="","",SUMIF(DailyLog[Task ID],A124,DailyLog[Hours]))</f>
        <v/>
      </c>
      <c r="O124" s="8"/>
    </row>
    <row r="125" spans="1:15">
      <c r="A125" t="str">
        <f>IF(C125="","",COUNTIF(C$14:C125,"&lt;&gt;"))</f>
        <v/>
      </c>
      <c r="J125" s="16" t="str">
        <f>IF(I125="Complete",100,IF(I125="In Progress",50,IF(I125="Not Started",0,IF(I125="On Hold",0,IF(I125="Blocked",0,"")))))</f>
        <v/>
      </c>
      <c r="K125" s="9"/>
      <c r="L125" s="9"/>
      <c r="M125" t="str">
        <f ca="1">IF(AND(L125&lt;TODAY(),I125&lt;&gt;"Complete",L125&lt;&gt;""),"YES","")</f>
        <v/>
      </c>
      <c r="N125" s="7" t="str">
        <f>IF(A125="","",SUMIF(DailyLog[Task ID],A125,DailyLog[Hours]))</f>
        <v/>
      </c>
      <c r="O125" s="8"/>
    </row>
    <row r="126" spans="1:15">
      <c r="A126" t="str">
        <f>IF(C126="","",COUNTIF(C$14:C126,"&lt;&gt;"))</f>
        <v/>
      </c>
      <c r="J126" s="16" t="str">
        <f>IF(I126="Complete",100,IF(I126="In Progress",50,IF(I126="Not Started",0,IF(I126="On Hold",0,IF(I126="Blocked",0,"")))))</f>
        <v/>
      </c>
      <c r="K126" s="9"/>
      <c r="L126" s="9"/>
      <c r="M126" t="str">
        <f ca="1">IF(AND(L126&lt;TODAY(),I126&lt;&gt;"Complete",L126&lt;&gt;""),"YES","")</f>
        <v/>
      </c>
      <c r="N126" s="7" t="str">
        <f>IF(A126="","",SUMIF(DailyLog[Task ID],A126,DailyLog[Hours]))</f>
        <v/>
      </c>
      <c r="O126" s="8"/>
    </row>
    <row r="127" spans="1:15">
      <c r="A127" t="str">
        <f>IF(C127="","",COUNTIF(C$14:C127,"&lt;&gt;"))</f>
        <v/>
      </c>
      <c r="J127" s="16" t="str">
        <f>IF(I127="Complete",100,IF(I127="In Progress",50,IF(I127="Not Started",0,IF(I127="On Hold",0,IF(I127="Blocked",0,"")))))</f>
        <v/>
      </c>
      <c r="K127" s="9"/>
      <c r="L127" s="9"/>
      <c r="M127" t="str">
        <f ca="1">IF(AND(L127&lt;TODAY(),I127&lt;&gt;"Complete",L127&lt;&gt;""),"YES","")</f>
        <v/>
      </c>
      <c r="N127" s="7" t="str">
        <f>IF(A127="","",SUMIF(DailyLog[Task ID],A127,DailyLog[Hours]))</f>
        <v/>
      </c>
      <c r="O127" s="8"/>
    </row>
    <row r="128" spans="1:15">
      <c r="A128" t="str">
        <f>IF(C128="","",COUNTIF(C$14:C128,"&lt;&gt;"))</f>
        <v/>
      </c>
      <c r="J128" s="16" t="str">
        <f>IF(I128="Complete",100,IF(I128="In Progress",50,IF(I128="Not Started",0,IF(I128="On Hold",0,IF(I128="Blocked",0,"")))))</f>
        <v/>
      </c>
      <c r="K128" s="9"/>
      <c r="L128" s="9"/>
      <c r="M128" t="str">
        <f ca="1">IF(AND(L128&lt;TODAY(),I128&lt;&gt;"Complete",L128&lt;&gt;""),"YES","")</f>
        <v/>
      </c>
      <c r="N128" s="7" t="str">
        <f>IF(A128="","",SUMIF(DailyLog[Task ID],A128,DailyLog[Hours]))</f>
        <v/>
      </c>
      <c r="O128" s="8"/>
    </row>
    <row r="129" spans="1:15">
      <c r="A129" t="str">
        <f>IF(C129="","",COUNTIF(C$14:C129,"&lt;&gt;"))</f>
        <v/>
      </c>
      <c r="J129" s="16" t="str">
        <f>IF(I129="Complete",100,IF(I129="In Progress",50,IF(I129="Not Started",0,IF(I129="On Hold",0,IF(I129="Blocked",0,"")))))</f>
        <v/>
      </c>
      <c r="K129" s="9"/>
      <c r="L129" s="9"/>
      <c r="M129" t="str">
        <f ca="1">IF(AND(L129&lt;TODAY(),I129&lt;&gt;"Complete",L129&lt;&gt;""),"YES","")</f>
        <v/>
      </c>
      <c r="N129" s="7" t="str">
        <f>IF(A129="","",SUMIF(DailyLog[Task ID],A129,DailyLog[Hours]))</f>
        <v/>
      </c>
      <c r="O129" s="8"/>
    </row>
    <row r="130" spans="1:15">
      <c r="A130" t="str">
        <f>IF(C130="","",COUNTIF(C$14:C130,"&lt;&gt;"))</f>
        <v/>
      </c>
      <c r="J130" s="16" t="str">
        <f>IF(I130="Complete",100,IF(I130="In Progress",50,IF(I130="Not Started",0,IF(I130="On Hold",0,IF(I130="Blocked",0,"")))))</f>
        <v/>
      </c>
      <c r="K130" s="9"/>
      <c r="L130" s="9"/>
      <c r="M130" t="str">
        <f ca="1">IF(AND(L130&lt;TODAY(),I130&lt;&gt;"Complete",L130&lt;&gt;""),"YES","")</f>
        <v/>
      </c>
      <c r="N130" s="7" t="str">
        <f>IF(A130="","",SUMIF(DailyLog[Task ID],A130,DailyLog[Hours]))</f>
        <v/>
      </c>
      <c r="O130" s="8"/>
    </row>
    <row r="131" spans="1:15">
      <c r="A131" t="str">
        <f>IF(C131="","",COUNTIF(C$14:C131,"&lt;&gt;"))</f>
        <v/>
      </c>
      <c r="J131" s="16" t="str">
        <f>IF(I131="Complete",100,IF(I131="In Progress",50,IF(I131="Not Started",0,IF(I131="On Hold",0,IF(I131="Blocked",0,"")))))</f>
        <v/>
      </c>
      <c r="K131" s="9"/>
      <c r="L131" s="9"/>
      <c r="M131" t="str">
        <f ca="1">IF(AND(L131&lt;TODAY(),I131&lt;&gt;"Complete",L131&lt;&gt;""),"YES","")</f>
        <v/>
      </c>
      <c r="N131" s="7" t="str">
        <f>IF(A131="","",SUMIF(DailyLog[Task ID],A131,DailyLog[Hours]))</f>
        <v/>
      </c>
      <c r="O131" s="8"/>
    </row>
    <row r="132" spans="1:15">
      <c r="A132" t="str">
        <f>IF(C132="","",COUNTIF(C$14:C132,"&lt;&gt;"))</f>
        <v/>
      </c>
      <c r="J132" s="16" t="str">
        <f>IF(I132="Complete",100,IF(I132="In Progress",50,IF(I132="Not Started",0,IF(I132="On Hold",0,IF(I132="Blocked",0,"")))))</f>
        <v/>
      </c>
      <c r="K132" s="9"/>
      <c r="L132" s="9"/>
      <c r="M132" t="str">
        <f ca="1">IF(AND(L132&lt;TODAY(),I132&lt;&gt;"Complete",L132&lt;&gt;""),"YES","")</f>
        <v/>
      </c>
      <c r="N132" s="7" t="str">
        <f>IF(A132="","",SUMIF(DailyLog[Task ID],A132,DailyLog[Hours]))</f>
        <v/>
      </c>
      <c r="O132" s="8"/>
    </row>
    <row r="133" spans="1:15">
      <c r="A133" t="str">
        <f>IF(C133="","",COUNTIF(C$14:C133,"&lt;&gt;"))</f>
        <v/>
      </c>
      <c r="J133" s="16" t="str">
        <f>IF(I133="Complete",100,IF(I133="In Progress",50,IF(I133="Not Started",0,IF(I133="On Hold",0,IF(I133="Blocked",0,"")))))</f>
        <v/>
      </c>
      <c r="K133" s="9"/>
      <c r="L133" s="9"/>
      <c r="M133" t="str">
        <f ca="1">IF(AND(L133&lt;TODAY(),I133&lt;&gt;"Complete",L133&lt;&gt;""),"YES","")</f>
        <v/>
      </c>
      <c r="N133" s="7" t="str">
        <f>IF(A133="","",SUMIF(DailyLog[Task ID],A133,DailyLog[Hours]))</f>
        <v/>
      </c>
      <c r="O133" s="8"/>
    </row>
    <row r="134" spans="1:15">
      <c r="A134" t="str">
        <f>IF(C134="","",COUNTIF(C$14:C134,"&lt;&gt;"))</f>
        <v/>
      </c>
      <c r="J134" s="16" t="str">
        <f>IF(I134="Complete",100,IF(I134="In Progress",50,IF(I134="Not Started",0,IF(I134="On Hold",0,IF(I134="Blocked",0,"")))))</f>
        <v/>
      </c>
      <c r="K134" s="9"/>
      <c r="L134" s="9"/>
      <c r="M134" t="str">
        <f ca="1">IF(AND(L134&lt;TODAY(),I134&lt;&gt;"Complete",L134&lt;&gt;""),"YES","")</f>
        <v/>
      </c>
      <c r="N134" s="7" t="str">
        <f>IF(A134="","",SUMIF(DailyLog[Task ID],A134,DailyLog[Hours]))</f>
        <v/>
      </c>
      <c r="O134" s="8"/>
    </row>
    <row r="135" spans="1:15">
      <c r="A135" t="str">
        <f>IF(C135="","",COUNTIF(C$14:C135,"&lt;&gt;"))</f>
        <v/>
      </c>
      <c r="J135" s="16" t="str">
        <f>IF(I135="Complete",100,IF(I135="In Progress",50,IF(I135="Not Started",0,IF(I135="On Hold",0,IF(I135="Blocked",0,"")))))</f>
        <v/>
      </c>
      <c r="K135" s="9"/>
      <c r="L135" s="9"/>
      <c r="M135" t="str">
        <f ca="1">IF(AND(L135&lt;TODAY(),I135&lt;&gt;"Complete",L135&lt;&gt;""),"YES","")</f>
        <v/>
      </c>
      <c r="N135" s="7" t="str">
        <f>IF(A135="","",SUMIF(DailyLog[Task ID],A135,DailyLog[Hours]))</f>
        <v/>
      </c>
      <c r="O135" s="8"/>
    </row>
    <row r="136" spans="1:15">
      <c r="A136" t="str">
        <f>IF(C136="","",COUNTIF(C$14:C136,"&lt;&gt;"))</f>
        <v/>
      </c>
      <c r="J136" s="16" t="str">
        <f>IF(I136="Complete",100,IF(I136="In Progress",50,IF(I136="Not Started",0,IF(I136="On Hold",0,IF(I136="Blocked",0,"")))))</f>
        <v/>
      </c>
      <c r="K136" s="9"/>
      <c r="L136" s="9"/>
      <c r="M136" t="str">
        <f ca="1">IF(AND(L136&lt;TODAY(),I136&lt;&gt;"Complete",L136&lt;&gt;""),"YES","")</f>
        <v/>
      </c>
      <c r="N136" s="7" t="str">
        <f>IF(A136="","",SUMIF(DailyLog[Task ID],A136,DailyLog[Hours]))</f>
        <v/>
      </c>
      <c r="O136" s="8"/>
    </row>
    <row r="137" spans="1:15">
      <c r="A137" t="str">
        <f>IF(C137="","",COUNTIF(C$14:C137,"&lt;&gt;"))</f>
        <v/>
      </c>
      <c r="J137" s="16" t="str">
        <f>IF(I137="Complete",100,IF(I137="In Progress",50,IF(I137="Not Started",0,IF(I137="On Hold",0,IF(I137="Blocked",0,"")))))</f>
        <v/>
      </c>
      <c r="K137" s="9"/>
      <c r="L137" s="9"/>
      <c r="M137" t="str">
        <f ca="1">IF(AND(L137&lt;TODAY(),I137&lt;&gt;"Complete",L137&lt;&gt;""),"YES","")</f>
        <v/>
      </c>
      <c r="N137" s="7" t="str">
        <f>IF(A137="","",SUMIF(DailyLog[Task ID],A137,DailyLog[Hours]))</f>
        <v/>
      </c>
      <c r="O137" s="8"/>
    </row>
    <row r="138" spans="1:15">
      <c r="A138" t="str">
        <f>IF(C138="","",COUNTIF(C$14:C138,"&lt;&gt;"))</f>
        <v/>
      </c>
      <c r="J138" s="16" t="str">
        <f>IF(I138="Complete",100,IF(I138="In Progress",50,IF(I138="Not Started",0,IF(I138="On Hold",0,IF(I138="Blocked",0,"")))))</f>
        <v/>
      </c>
      <c r="K138" s="9"/>
      <c r="L138" s="9"/>
      <c r="M138" t="str">
        <f ca="1">IF(AND(L138&lt;TODAY(),I138&lt;&gt;"Complete",L138&lt;&gt;""),"YES","")</f>
        <v/>
      </c>
      <c r="N138" s="7" t="str">
        <f>IF(A138="","",SUMIF(DailyLog[Task ID],A138,DailyLog[Hours]))</f>
        <v/>
      </c>
      <c r="O138" s="8"/>
    </row>
    <row r="139" spans="1:15">
      <c r="A139" t="str">
        <f>IF(C139="","",COUNTIF(C$14:C139,"&lt;&gt;"))</f>
        <v/>
      </c>
      <c r="J139" s="16" t="str">
        <f>IF(I139="Complete",100,IF(I139="In Progress",50,IF(I139="Not Started",0,IF(I139="On Hold",0,IF(I139="Blocked",0,"")))))</f>
        <v/>
      </c>
      <c r="K139" s="9"/>
      <c r="L139" s="9"/>
      <c r="M139" t="str">
        <f ca="1">IF(AND(L139&lt;TODAY(),I139&lt;&gt;"Complete",L139&lt;&gt;""),"YES","")</f>
        <v/>
      </c>
      <c r="N139" s="7" t="str">
        <f>IF(A139="","",SUMIF(DailyLog[Task ID],A139,DailyLog[Hours]))</f>
        <v/>
      </c>
      <c r="O139" s="8"/>
    </row>
    <row r="140" spans="1:15">
      <c r="A140" t="str">
        <f>IF(C140="","",COUNTIF(C$14:C140,"&lt;&gt;"))</f>
        <v/>
      </c>
      <c r="J140" s="16" t="str">
        <f>IF(I140="Complete",100,IF(I140="In Progress",50,IF(I140="Not Started",0,IF(I140="On Hold",0,IF(I140="Blocked",0,"")))))</f>
        <v/>
      </c>
      <c r="K140" s="9"/>
      <c r="L140" s="9"/>
      <c r="M140" t="str">
        <f ca="1">IF(AND(L140&lt;TODAY(),I140&lt;&gt;"Complete",L140&lt;&gt;""),"YES","")</f>
        <v/>
      </c>
      <c r="N140" s="7" t="str">
        <f>IF(A140="","",SUMIF(DailyLog[Task ID],A140,DailyLog[Hours]))</f>
        <v/>
      </c>
      <c r="O140" s="8"/>
    </row>
    <row r="141" spans="1:15">
      <c r="A141" t="str">
        <f>IF(C141="","",COUNTIF(C$14:C141,"&lt;&gt;"))</f>
        <v/>
      </c>
      <c r="J141" s="16" t="str">
        <f>IF(I141="Complete",100,IF(I141="In Progress",50,IF(I141="Not Started",0,IF(I141="On Hold",0,IF(I141="Blocked",0,"")))))</f>
        <v/>
      </c>
      <c r="K141" s="9"/>
      <c r="L141" s="9"/>
      <c r="M141" t="str">
        <f ca="1">IF(AND(L141&lt;TODAY(),I141&lt;&gt;"Complete",L141&lt;&gt;""),"YES","")</f>
        <v/>
      </c>
      <c r="N141" s="7" t="str">
        <f>IF(A141="","",SUMIF(DailyLog[Task ID],A141,DailyLog[Hours]))</f>
        <v/>
      </c>
      <c r="O141" s="8"/>
    </row>
    <row r="142" spans="1:15">
      <c r="A142" t="str">
        <f>IF(C142="","",COUNTIF(C$14:C142,"&lt;&gt;"))</f>
        <v/>
      </c>
      <c r="J142" s="16" t="str">
        <f>IF(I142="Complete",100,IF(I142="In Progress",50,IF(I142="Not Started",0,IF(I142="On Hold",0,IF(I142="Blocked",0,"")))))</f>
        <v/>
      </c>
      <c r="K142" s="9"/>
      <c r="L142" s="9"/>
      <c r="M142" t="str">
        <f ca="1">IF(AND(L142&lt;TODAY(),I142&lt;&gt;"Complete",L142&lt;&gt;""),"YES","")</f>
        <v/>
      </c>
      <c r="N142" s="7" t="str">
        <f>IF(A142="","",SUMIF(DailyLog[Task ID],A142,DailyLog[Hours]))</f>
        <v/>
      </c>
      <c r="O142" s="8"/>
    </row>
    <row r="143" spans="1:15">
      <c r="A143" t="str">
        <f>IF(C143="","",COUNTIF(C$14:C143,"&lt;&gt;"))</f>
        <v/>
      </c>
      <c r="J143" s="16" t="str">
        <f>IF(I143="Complete",100,IF(I143="In Progress",50,IF(I143="Not Started",0,IF(I143="On Hold",0,IF(I143="Blocked",0,"")))))</f>
        <v/>
      </c>
      <c r="K143" s="9"/>
      <c r="L143" s="9"/>
      <c r="M143" t="str">
        <f ca="1">IF(AND(L143&lt;TODAY(),I143&lt;&gt;"Complete",L143&lt;&gt;""),"YES","")</f>
        <v/>
      </c>
      <c r="N143" s="7" t="str">
        <f>IF(A143="","",SUMIF(DailyLog[Task ID],A143,DailyLog[Hours]))</f>
        <v/>
      </c>
      <c r="O143" s="8"/>
    </row>
    <row r="144" spans="1:15">
      <c r="A144" t="str">
        <f>IF(C144="","",COUNTIF(C$14:C144,"&lt;&gt;"))</f>
        <v/>
      </c>
      <c r="J144" s="16" t="str">
        <f>IF(I144="Complete",100,IF(I144="In Progress",50,IF(I144="Not Started",0,IF(I144="On Hold",0,IF(I144="Blocked",0,"")))))</f>
        <v/>
      </c>
      <c r="K144" s="9"/>
      <c r="L144" s="9"/>
      <c r="M144" t="str">
        <f ca="1">IF(AND(L144&lt;TODAY(),I144&lt;&gt;"Complete",L144&lt;&gt;""),"YES","")</f>
        <v/>
      </c>
      <c r="N144" s="7" t="str">
        <f>IF(A144="","",SUMIF(DailyLog[Task ID],A144,DailyLog[Hours]))</f>
        <v/>
      </c>
      <c r="O144" s="8"/>
    </row>
    <row r="145" spans="1:15">
      <c r="A145" t="str">
        <f>IF(C145="","",COUNTIF(C$14:C145,"&lt;&gt;"))</f>
        <v/>
      </c>
      <c r="J145" s="16" t="str">
        <f>IF(I145="Complete",100,IF(I145="In Progress",50,IF(I145="Not Started",0,IF(I145="On Hold",0,IF(I145="Blocked",0,"")))))</f>
        <v/>
      </c>
      <c r="K145" s="9"/>
      <c r="L145" s="9"/>
      <c r="M145" t="str">
        <f ca="1">IF(AND(L145&lt;TODAY(),I145&lt;&gt;"Complete",L145&lt;&gt;""),"YES","")</f>
        <v/>
      </c>
      <c r="N145" s="7" t="str">
        <f>IF(A145="","",SUMIF(DailyLog[Task ID],A145,DailyLog[Hours]))</f>
        <v/>
      </c>
      <c r="O145" s="8"/>
    </row>
    <row r="146" spans="1:15">
      <c r="A146" t="str">
        <f>IF(C146="","",COUNTIF(C$14:C146,"&lt;&gt;"))</f>
        <v/>
      </c>
      <c r="J146" s="16" t="str">
        <f>IF(I146="Complete",100,IF(I146="In Progress",50,IF(I146="Not Started",0,IF(I146="On Hold",0,IF(I146="Blocked",0,"")))))</f>
        <v/>
      </c>
      <c r="K146" s="9"/>
      <c r="L146" s="9"/>
      <c r="M146" t="str">
        <f ca="1">IF(AND(L146&lt;TODAY(),I146&lt;&gt;"Complete",L146&lt;&gt;""),"YES","")</f>
        <v/>
      </c>
      <c r="N146" s="7" t="str">
        <f>IF(A146="","",SUMIF(DailyLog[Task ID],A146,DailyLog[Hours]))</f>
        <v/>
      </c>
      <c r="O146" s="8"/>
    </row>
    <row r="147" spans="1:15">
      <c r="A147" t="str">
        <f>IF(C147="","",COUNTIF(C$14:C147,"&lt;&gt;"))</f>
        <v/>
      </c>
      <c r="J147" s="16" t="str">
        <f>IF(I147="Complete",100,IF(I147="In Progress",50,IF(I147="Not Started",0,IF(I147="On Hold",0,IF(I147="Blocked",0,"")))))</f>
        <v/>
      </c>
      <c r="K147" s="9"/>
      <c r="L147" s="9"/>
      <c r="M147" t="str">
        <f ca="1">IF(AND(L147&lt;TODAY(),I147&lt;&gt;"Complete",L147&lt;&gt;""),"YES","")</f>
        <v/>
      </c>
      <c r="N147" s="7" t="str">
        <f>IF(A147="","",SUMIF(DailyLog[Task ID],A147,DailyLog[Hours]))</f>
        <v/>
      </c>
      <c r="O147" s="8"/>
    </row>
    <row r="148" spans="1:15">
      <c r="A148" t="str">
        <f>IF(C148="","",COUNTIF(C$14:C148,"&lt;&gt;"))</f>
        <v/>
      </c>
      <c r="J148" s="16" t="str">
        <f>IF(I148="Complete",100,IF(I148="In Progress",50,IF(I148="Not Started",0,IF(I148="On Hold",0,IF(I148="Blocked",0,"")))))</f>
        <v/>
      </c>
      <c r="K148" s="9"/>
      <c r="L148" s="9"/>
      <c r="M148" t="str">
        <f ca="1">IF(AND(L148&lt;TODAY(),I148&lt;&gt;"Complete",L148&lt;&gt;""),"YES","")</f>
        <v/>
      </c>
      <c r="N148" s="7" t="str">
        <f>IF(A148="","",SUMIF(DailyLog[Task ID],A148,DailyLog[Hours]))</f>
        <v/>
      </c>
      <c r="O148" s="8"/>
    </row>
    <row r="149" spans="1:15">
      <c r="A149" t="str">
        <f>IF(C149="","",COUNTIF(C$14:C149,"&lt;&gt;"))</f>
        <v/>
      </c>
      <c r="J149" s="16" t="str">
        <f>IF(I149="Complete",100,IF(I149="In Progress",50,IF(I149="Not Started",0,IF(I149="On Hold",0,IF(I149="Blocked",0,"")))))</f>
        <v/>
      </c>
      <c r="K149" s="9"/>
      <c r="L149" s="9"/>
      <c r="M149" t="str">
        <f ca="1">IF(AND(L149&lt;TODAY(),I149&lt;&gt;"Complete",L149&lt;&gt;""),"YES","")</f>
        <v/>
      </c>
      <c r="N149" s="7" t="str">
        <f>IF(A149="","",SUMIF(DailyLog[Task ID],A149,DailyLog[Hours]))</f>
        <v/>
      </c>
      <c r="O149" s="8"/>
    </row>
    <row r="150" spans="1:15">
      <c r="A150" t="str">
        <f>IF(C150="","",COUNTIF(C$14:C150,"&lt;&gt;"))</f>
        <v/>
      </c>
      <c r="J150" s="16" t="str">
        <f>IF(I150="Complete",100,IF(I150="In Progress",50,IF(I150="Not Started",0,IF(I150="On Hold",0,IF(I150="Blocked",0,"")))))</f>
        <v/>
      </c>
      <c r="K150" s="9"/>
      <c r="L150" s="9"/>
      <c r="M150" t="str">
        <f ca="1">IF(AND(L150&lt;TODAY(),I150&lt;&gt;"Complete",L150&lt;&gt;""),"YES","")</f>
        <v/>
      </c>
      <c r="N150" s="7" t="str">
        <f>IF(A150="","",SUMIF(DailyLog[Task ID],A150,DailyLog[Hours]))</f>
        <v/>
      </c>
      <c r="O150" s="8"/>
    </row>
    <row r="151" spans="1:15">
      <c r="A151" t="str">
        <f>IF(C151="","",COUNTIF(C$14:C151,"&lt;&gt;"))</f>
        <v/>
      </c>
      <c r="J151" s="16" t="str">
        <f>IF(I151="Complete",100,IF(I151="In Progress",50,IF(I151="Not Started",0,IF(I151="On Hold",0,IF(I151="Blocked",0,"")))))</f>
        <v/>
      </c>
      <c r="K151" s="9"/>
      <c r="L151" s="9"/>
      <c r="M151" t="str">
        <f ca="1">IF(AND(L151&lt;TODAY(),I151&lt;&gt;"Complete",L151&lt;&gt;""),"YES","")</f>
        <v/>
      </c>
      <c r="N151" s="7" t="str">
        <f>IF(A151="","",SUMIF(DailyLog[Task ID],A151,DailyLog[Hours]))</f>
        <v/>
      </c>
      <c r="O151" s="8"/>
    </row>
    <row r="152" spans="1:15">
      <c r="A152" t="str">
        <f>IF(C152="","",COUNTIF(C$14:C152,"&lt;&gt;"))</f>
        <v/>
      </c>
      <c r="J152" s="16" t="str">
        <f>IF(I152="Complete",100,IF(I152="In Progress",50,IF(I152="Not Started",0,IF(I152="On Hold",0,IF(I152="Blocked",0,"")))))</f>
        <v/>
      </c>
      <c r="K152" s="9"/>
      <c r="L152" s="9"/>
      <c r="M152" t="str">
        <f ca="1">IF(AND(L152&lt;TODAY(),I152&lt;&gt;"Complete",L152&lt;&gt;""),"YES","")</f>
        <v/>
      </c>
      <c r="N152" s="7" t="str">
        <f>IF(A152="","",SUMIF(DailyLog[Task ID],A152,DailyLog[Hours]))</f>
        <v/>
      </c>
      <c r="O152" s="8"/>
    </row>
    <row r="153" spans="1:15">
      <c r="A153" t="str">
        <f>IF(C153="","",COUNTIF(C$14:C153,"&lt;&gt;"))</f>
        <v/>
      </c>
      <c r="J153" s="16" t="str">
        <f>IF(I153="Complete",100,IF(I153="In Progress",50,IF(I153="Not Started",0,IF(I153="On Hold",0,IF(I153="Blocked",0,"")))))</f>
        <v/>
      </c>
      <c r="K153" s="9"/>
      <c r="L153" s="9"/>
      <c r="M153" t="str">
        <f ca="1">IF(AND(L153&lt;TODAY(),I153&lt;&gt;"Complete",L153&lt;&gt;""),"YES","")</f>
        <v/>
      </c>
      <c r="N153" s="7" t="str">
        <f>IF(A153="","",SUMIF(DailyLog[Task ID],A153,DailyLog[Hours]))</f>
        <v/>
      </c>
      <c r="O153" s="8"/>
    </row>
    <row r="154" spans="1:15">
      <c r="A154" t="str">
        <f>IF(C154="","",COUNTIF(C$14:C154,"&lt;&gt;"))</f>
        <v/>
      </c>
      <c r="J154" s="16" t="str">
        <f>IF(I154="Complete",100,IF(I154="In Progress",50,IF(I154="Not Started",0,IF(I154="On Hold",0,IF(I154="Blocked",0,"")))))</f>
        <v/>
      </c>
      <c r="K154" s="9"/>
      <c r="L154" s="9"/>
      <c r="M154" t="str">
        <f ca="1">IF(AND(L154&lt;TODAY(),I154&lt;&gt;"Complete",L154&lt;&gt;""),"YES","")</f>
        <v/>
      </c>
      <c r="N154" s="7" t="str">
        <f>IF(A154="","",SUMIF(DailyLog[Task ID],A154,DailyLog[Hours]))</f>
        <v/>
      </c>
      <c r="O154" s="8"/>
    </row>
    <row r="155" spans="1:15">
      <c r="A155" t="str">
        <f>IF(C155="","",COUNTIF(C$14:C155,"&lt;&gt;"))</f>
        <v/>
      </c>
      <c r="J155" s="16" t="str">
        <f>IF(I155="Complete",100,IF(I155="In Progress",50,IF(I155="Not Started",0,IF(I155="On Hold",0,IF(I155="Blocked",0,"")))))</f>
        <v/>
      </c>
      <c r="K155" s="9"/>
      <c r="L155" s="9"/>
      <c r="M155" t="str">
        <f ca="1">IF(AND(L155&lt;TODAY(),I155&lt;&gt;"Complete",L155&lt;&gt;""),"YES","")</f>
        <v/>
      </c>
      <c r="N155" s="7" t="str">
        <f>IF(A155="","",SUMIF(DailyLog[Task ID],A155,DailyLog[Hours]))</f>
        <v/>
      </c>
      <c r="O155" s="8"/>
    </row>
    <row r="156" spans="1:15">
      <c r="A156" t="str">
        <f>IF(C156="","",COUNTIF(C$14:C156,"&lt;&gt;"))</f>
        <v/>
      </c>
      <c r="J156" s="16" t="str">
        <f>IF(I156="Complete",100,IF(I156="In Progress",50,IF(I156="Not Started",0,IF(I156="On Hold",0,IF(I156="Blocked",0,"")))))</f>
        <v/>
      </c>
      <c r="K156" s="9"/>
      <c r="L156" s="9"/>
      <c r="M156" t="str">
        <f ca="1">IF(AND(L156&lt;TODAY(),I156&lt;&gt;"Complete",L156&lt;&gt;""),"YES","")</f>
        <v/>
      </c>
      <c r="N156" s="7" t="str">
        <f>IF(A156="","",SUMIF(DailyLog[Task ID],A156,DailyLog[Hours]))</f>
        <v/>
      </c>
      <c r="O156" s="8"/>
    </row>
    <row r="157" spans="1:15">
      <c r="A157" t="str">
        <f>IF(C157="","",COUNTIF(C$14:C157,"&lt;&gt;"))</f>
        <v/>
      </c>
      <c r="J157" s="16" t="str">
        <f>IF(I157="Complete",100,IF(I157="In Progress",50,IF(I157="Not Started",0,IF(I157="On Hold",0,IF(I157="Blocked",0,"")))))</f>
        <v/>
      </c>
      <c r="K157" s="9"/>
      <c r="L157" s="9"/>
      <c r="M157" t="str">
        <f ca="1">IF(AND(L157&lt;TODAY(),I157&lt;&gt;"Complete",L157&lt;&gt;""),"YES","")</f>
        <v/>
      </c>
      <c r="N157" s="7" t="str">
        <f>IF(A157="","",SUMIF(DailyLog[Task ID],A157,DailyLog[Hours]))</f>
        <v/>
      </c>
      <c r="O157" s="8"/>
    </row>
    <row r="158" spans="1:15">
      <c r="A158" t="str">
        <f>IF(C158="","",COUNTIF(C$14:C158,"&lt;&gt;"))</f>
        <v/>
      </c>
      <c r="J158" s="16" t="str">
        <f>IF(I158="Complete",100,IF(I158="In Progress",50,IF(I158="Not Started",0,IF(I158="On Hold",0,IF(I158="Blocked",0,"")))))</f>
        <v/>
      </c>
      <c r="K158" s="9"/>
      <c r="L158" s="9"/>
      <c r="M158" t="str">
        <f ca="1">IF(AND(L158&lt;TODAY(),I158&lt;&gt;"Complete",L158&lt;&gt;""),"YES","")</f>
        <v/>
      </c>
      <c r="N158" s="7" t="str">
        <f>IF(A158="","",SUMIF(DailyLog[Task ID],A158,DailyLog[Hours]))</f>
        <v/>
      </c>
      <c r="O158" s="8"/>
    </row>
    <row r="159" spans="1:15">
      <c r="A159" t="str">
        <f>IF(C159="","",COUNTIF(C$14:C159,"&lt;&gt;"))</f>
        <v/>
      </c>
      <c r="J159" s="16" t="str">
        <f>IF(I159="Complete",100,IF(I159="In Progress",50,IF(I159="Not Started",0,IF(I159="On Hold",0,IF(I159="Blocked",0,"")))))</f>
        <v/>
      </c>
      <c r="K159" s="9"/>
      <c r="L159" s="9"/>
      <c r="M159" t="str">
        <f ca="1">IF(AND(L159&lt;TODAY(),I159&lt;&gt;"Complete",L159&lt;&gt;""),"YES","")</f>
        <v/>
      </c>
      <c r="N159" s="7" t="str">
        <f>IF(A159="","",SUMIF(DailyLog[Task ID],A159,DailyLog[Hours]))</f>
        <v/>
      </c>
      <c r="O159" s="8"/>
    </row>
    <row r="160" spans="1:15">
      <c r="A160" t="str">
        <f>IF(C160="","",COUNTIF(C$14:C160,"&lt;&gt;"))</f>
        <v/>
      </c>
      <c r="J160" s="16" t="str">
        <f>IF(I160="Complete",100,IF(I160="In Progress",50,IF(I160="Not Started",0,IF(I160="On Hold",0,IF(I160="Blocked",0,"")))))</f>
        <v/>
      </c>
      <c r="K160" s="9"/>
      <c r="L160" s="9"/>
      <c r="M160" t="str">
        <f ca="1">IF(AND(L160&lt;TODAY(),I160&lt;&gt;"Complete",L160&lt;&gt;""),"YES","")</f>
        <v/>
      </c>
      <c r="N160" s="7" t="str">
        <f>IF(A160="","",SUMIF(DailyLog[Task ID],A160,DailyLog[Hours]))</f>
        <v/>
      </c>
      <c r="O160" s="8"/>
    </row>
    <row r="161" spans="1:15">
      <c r="A161" t="str">
        <f>IF(C161="","",COUNTIF(C$14:C161,"&lt;&gt;"))</f>
        <v/>
      </c>
      <c r="J161" s="16" t="str">
        <f>IF(I161="Complete",100,IF(I161="In Progress",50,IF(I161="Not Started",0,IF(I161="On Hold",0,IF(I161="Blocked",0,"")))))</f>
        <v/>
      </c>
      <c r="K161" s="9"/>
      <c r="L161" s="9"/>
      <c r="M161" t="str">
        <f ca="1">IF(AND(L161&lt;TODAY(),I161&lt;&gt;"Complete",L161&lt;&gt;""),"YES","")</f>
        <v/>
      </c>
      <c r="N161" s="7" t="str">
        <f>IF(A161="","",SUMIF(DailyLog[Task ID],A161,DailyLog[Hours]))</f>
        <v/>
      </c>
      <c r="O161" s="8"/>
    </row>
    <row r="162" spans="1:15">
      <c r="A162" t="str">
        <f>IF(C162="","",COUNTIF(C$14:C162,"&lt;&gt;"))</f>
        <v/>
      </c>
      <c r="J162" s="16" t="str">
        <f>IF(I162="Complete",100,IF(I162="In Progress",50,IF(I162="Not Started",0,IF(I162="On Hold",0,IF(I162="Blocked",0,"")))))</f>
        <v/>
      </c>
      <c r="K162" s="9"/>
      <c r="L162" s="9"/>
      <c r="M162" t="str">
        <f ca="1">IF(AND(L162&lt;TODAY(),I162&lt;&gt;"Complete",L162&lt;&gt;""),"YES","")</f>
        <v/>
      </c>
      <c r="N162" s="7" t="str">
        <f>IF(A162="","",SUMIF(DailyLog[Task ID],A162,DailyLog[Hours]))</f>
        <v/>
      </c>
      <c r="O162" s="8"/>
    </row>
    <row r="163" spans="1:15">
      <c r="A163" t="str">
        <f>IF(C163="","",COUNTIF(C$14:C163,"&lt;&gt;"))</f>
        <v/>
      </c>
      <c r="J163" s="16" t="str">
        <f>IF(I163="Complete",100,IF(I163="In Progress",50,IF(I163="Not Started",0,IF(I163="On Hold",0,IF(I163="Blocked",0,"")))))</f>
        <v/>
      </c>
      <c r="K163" s="9"/>
      <c r="L163" s="9"/>
      <c r="M163" t="str">
        <f ca="1">IF(AND(L163&lt;TODAY(),I163&lt;&gt;"Complete",L163&lt;&gt;""),"YES","")</f>
        <v/>
      </c>
      <c r="N163" s="7" t="str">
        <f>IF(A163="","",SUMIF(DailyLog[Task ID],A163,DailyLog[Hours]))</f>
        <v/>
      </c>
      <c r="O163" s="8"/>
    </row>
    <row r="164" spans="1:15">
      <c r="A164" t="str">
        <f>IF(C164="","",COUNTIF(C$14:C164,"&lt;&gt;"))</f>
        <v/>
      </c>
      <c r="J164" s="16" t="str">
        <f>IF(I164="Complete",100,IF(I164="In Progress",50,IF(I164="Not Started",0,IF(I164="On Hold",0,IF(I164="Blocked",0,"")))))</f>
        <v/>
      </c>
      <c r="K164" s="9"/>
      <c r="L164" s="9"/>
      <c r="M164" t="str">
        <f ca="1">IF(AND(L164&lt;TODAY(),I164&lt;&gt;"Complete",L164&lt;&gt;""),"YES","")</f>
        <v/>
      </c>
      <c r="N164" s="7" t="str">
        <f>IF(A164="","",SUMIF(DailyLog[Task ID],A164,DailyLog[Hours]))</f>
        <v/>
      </c>
      <c r="O164" s="8"/>
    </row>
    <row r="165" spans="1:15">
      <c r="A165" t="str">
        <f>IF(C165="","",COUNTIF(C$14:C165,"&lt;&gt;"))</f>
        <v/>
      </c>
      <c r="J165" s="16" t="str">
        <f>IF(I165="Complete",100,IF(I165="In Progress",50,IF(I165="Not Started",0,IF(I165="On Hold",0,IF(I165="Blocked",0,"")))))</f>
        <v/>
      </c>
      <c r="K165" s="9"/>
      <c r="L165" s="9"/>
      <c r="M165" t="str">
        <f ca="1">IF(AND(L165&lt;TODAY(),I165&lt;&gt;"Complete",L165&lt;&gt;""),"YES","")</f>
        <v/>
      </c>
      <c r="N165" s="7" t="str">
        <f>IF(A165="","",SUMIF(DailyLog[Task ID],A165,DailyLog[Hours]))</f>
        <v/>
      </c>
      <c r="O165" s="8"/>
    </row>
    <row r="166" spans="1:15">
      <c r="A166" t="str">
        <f>IF(C166="","",COUNTIF(C$14:C166,"&lt;&gt;"))</f>
        <v/>
      </c>
      <c r="J166" s="16" t="str">
        <f>IF(I166="Complete",100,IF(I166="In Progress",50,IF(I166="Not Started",0,IF(I166="On Hold",0,IF(I166="Blocked",0,"")))))</f>
        <v/>
      </c>
      <c r="K166" s="9"/>
      <c r="L166" s="9"/>
      <c r="M166" t="str">
        <f ca="1">IF(AND(L166&lt;TODAY(),I166&lt;&gt;"Complete",L166&lt;&gt;""),"YES","")</f>
        <v/>
      </c>
      <c r="N166" s="7" t="str">
        <f>IF(A166="","",SUMIF(DailyLog[Task ID],A166,DailyLog[Hours]))</f>
        <v/>
      </c>
      <c r="O166" s="8"/>
    </row>
    <row r="167" spans="1:15">
      <c r="A167" t="str">
        <f>IF(C167="","",COUNTIF(C$14:C167,"&lt;&gt;"))</f>
        <v/>
      </c>
      <c r="J167" s="16" t="str">
        <f>IF(I167="Complete",100,IF(I167="In Progress",50,IF(I167="Not Started",0,IF(I167="On Hold",0,IF(I167="Blocked",0,"")))))</f>
        <v/>
      </c>
      <c r="K167" s="9"/>
      <c r="L167" s="9"/>
      <c r="M167" t="str">
        <f ca="1">IF(AND(L167&lt;TODAY(),I167&lt;&gt;"Complete",L167&lt;&gt;""),"YES","")</f>
        <v/>
      </c>
      <c r="N167" s="7" t="str">
        <f>IF(A167="","",SUMIF(DailyLog[Task ID],A167,DailyLog[Hours]))</f>
        <v/>
      </c>
      <c r="O167" s="8"/>
    </row>
    <row r="168" spans="1:15">
      <c r="A168" t="str">
        <f>IF(C168="","",COUNTIF(C$14:C168,"&lt;&gt;"))</f>
        <v/>
      </c>
      <c r="J168" s="16" t="str">
        <f>IF(I168="Complete",100,IF(I168="In Progress",50,IF(I168="Not Started",0,IF(I168="On Hold",0,IF(I168="Blocked",0,"")))))</f>
        <v/>
      </c>
      <c r="K168" s="9"/>
      <c r="L168" s="9"/>
      <c r="M168" t="str">
        <f ca="1">IF(AND(L168&lt;TODAY(),I168&lt;&gt;"Complete",L168&lt;&gt;""),"YES","")</f>
        <v/>
      </c>
      <c r="N168" s="7" t="str">
        <f>IF(A168="","",SUMIF(DailyLog[Task ID],A168,DailyLog[Hours]))</f>
        <v/>
      </c>
      <c r="O168" s="8"/>
    </row>
    <row r="169" spans="1:15">
      <c r="A169" t="str">
        <f>IF(C169="","",COUNTIF(C$14:C169,"&lt;&gt;"))</f>
        <v/>
      </c>
      <c r="J169" s="16" t="str">
        <f>IF(I169="Complete",100,IF(I169="In Progress",50,IF(I169="Not Started",0,IF(I169="On Hold",0,IF(I169="Blocked",0,"")))))</f>
        <v/>
      </c>
      <c r="K169" s="9"/>
      <c r="L169" s="9"/>
      <c r="M169" t="str">
        <f ca="1">IF(AND(L169&lt;TODAY(),I169&lt;&gt;"Complete",L169&lt;&gt;""),"YES","")</f>
        <v/>
      </c>
      <c r="N169" s="7" t="str">
        <f>IF(A169="","",SUMIF(DailyLog[Task ID],A169,DailyLog[Hours]))</f>
        <v/>
      </c>
      <c r="O169" s="8"/>
    </row>
    <row r="170" spans="1:15">
      <c r="A170" t="str">
        <f>IF(C170="","",COUNTIF(C$14:C170,"&lt;&gt;"))</f>
        <v/>
      </c>
      <c r="J170" s="16" t="str">
        <f>IF(I170="Complete",100,IF(I170="In Progress",50,IF(I170="Not Started",0,IF(I170="On Hold",0,IF(I170="Blocked",0,"")))))</f>
        <v/>
      </c>
      <c r="K170" s="9"/>
      <c r="L170" s="9"/>
      <c r="M170" t="str">
        <f ca="1">IF(AND(L170&lt;TODAY(),I170&lt;&gt;"Complete",L170&lt;&gt;""),"YES","")</f>
        <v/>
      </c>
      <c r="N170" s="7" t="str">
        <f>IF(A170="","",SUMIF(DailyLog[Task ID],A170,DailyLog[Hours]))</f>
        <v/>
      </c>
      <c r="O170" s="8"/>
    </row>
    <row r="171" spans="1:15">
      <c r="A171" t="str">
        <f>IF(C171="","",COUNTIF(C$14:C171,"&lt;&gt;"))</f>
        <v/>
      </c>
      <c r="J171" s="16" t="str">
        <f>IF(I171="Complete",100,IF(I171="In Progress",50,IF(I171="Not Started",0,IF(I171="On Hold",0,IF(I171="Blocked",0,"")))))</f>
        <v/>
      </c>
      <c r="K171" s="9"/>
      <c r="L171" s="9"/>
      <c r="M171" t="str">
        <f ca="1">IF(AND(L171&lt;TODAY(),I171&lt;&gt;"Complete",L171&lt;&gt;""),"YES","")</f>
        <v/>
      </c>
      <c r="N171" s="7" t="str">
        <f>IF(A171="","",SUMIF(DailyLog[Task ID],A171,DailyLog[Hours]))</f>
        <v/>
      </c>
      <c r="O171" s="8"/>
    </row>
    <row r="172" spans="1:15">
      <c r="A172" t="str">
        <f>IF(C172="","",COUNTIF(C$14:C172,"&lt;&gt;"))</f>
        <v/>
      </c>
      <c r="J172" s="16" t="str">
        <f>IF(I172="Complete",100,IF(I172="In Progress",50,IF(I172="Not Started",0,IF(I172="On Hold",0,IF(I172="Blocked",0,"")))))</f>
        <v/>
      </c>
      <c r="K172" s="9"/>
      <c r="L172" s="9"/>
      <c r="M172" t="str">
        <f ca="1">IF(AND(L172&lt;TODAY(),I172&lt;&gt;"Complete",L172&lt;&gt;""),"YES","")</f>
        <v/>
      </c>
      <c r="N172" s="7" t="str">
        <f>IF(A172="","",SUMIF(DailyLog[Task ID],A172,DailyLog[Hours]))</f>
        <v/>
      </c>
      <c r="O172" s="8"/>
    </row>
    <row r="173" spans="1:15">
      <c r="A173" t="str">
        <f>IF(C173="","",COUNTIF(C$14:C173,"&lt;&gt;"))</f>
        <v/>
      </c>
      <c r="J173" s="16" t="str">
        <f>IF(I173="Complete",100,IF(I173="In Progress",50,IF(I173="Not Started",0,IF(I173="On Hold",0,IF(I173="Blocked",0,"")))))</f>
        <v/>
      </c>
      <c r="K173" s="9"/>
      <c r="L173" s="9"/>
      <c r="M173" t="str">
        <f ca="1">IF(AND(L173&lt;TODAY(),I173&lt;&gt;"Complete",L173&lt;&gt;""),"YES","")</f>
        <v/>
      </c>
      <c r="N173" s="7" t="str">
        <f>IF(A173="","",SUMIF(DailyLog[Task ID],A173,DailyLog[Hours]))</f>
        <v/>
      </c>
      <c r="O173" s="8"/>
    </row>
    <row r="174" spans="1:15">
      <c r="A174" t="str">
        <f>IF(C174="","",COUNTIF(C$14:C174,"&lt;&gt;"))</f>
        <v/>
      </c>
      <c r="J174" s="16" t="str">
        <f>IF(I174="Complete",100,IF(I174="In Progress",50,IF(I174="Not Started",0,IF(I174="On Hold",0,IF(I174="Blocked",0,"")))))</f>
        <v/>
      </c>
      <c r="K174" s="9"/>
      <c r="L174" s="9"/>
      <c r="M174" t="str">
        <f ca="1">IF(AND(L174&lt;TODAY(),I174&lt;&gt;"Complete",L174&lt;&gt;""),"YES","")</f>
        <v/>
      </c>
      <c r="N174" s="7" t="str">
        <f>IF(A174="","",SUMIF(DailyLog[Task ID],A174,DailyLog[Hours]))</f>
        <v/>
      </c>
      <c r="O174" s="8"/>
    </row>
    <row r="175" spans="1:15">
      <c r="A175" t="str">
        <f>IF(C175="","",COUNTIF(C$14:C175,"&lt;&gt;"))</f>
        <v/>
      </c>
      <c r="J175" s="16" t="str">
        <f>IF(I175="Complete",100,IF(I175="In Progress",50,IF(I175="Not Started",0,IF(I175="On Hold",0,IF(I175="Blocked",0,"")))))</f>
        <v/>
      </c>
      <c r="K175" s="9"/>
      <c r="L175" s="9"/>
      <c r="M175" t="str">
        <f ca="1">IF(AND(L175&lt;TODAY(),I175&lt;&gt;"Complete",L175&lt;&gt;""),"YES","")</f>
        <v/>
      </c>
      <c r="N175" s="7" t="str">
        <f>IF(A175="","",SUMIF(DailyLog[Task ID],A175,DailyLog[Hours]))</f>
        <v/>
      </c>
      <c r="O175" s="8"/>
    </row>
    <row r="176" spans="1:15">
      <c r="A176" t="str">
        <f>IF(C176="","",COUNTIF(C$14:C176,"&lt;&gt;"))</f>
        <v/>
      </c>
      <c r="J176" s="16" t="str">
        <f>IF(I176="Complete",100,IF(I176="In Progress",50,IF(I176="Not Started",0,IF(I176="On Hold",0,IF(I176="Blocked",0,"")))))</f>
        <v/>
      </c>
      <c r="K176" s="9"/>
      <c r="L176" s="9"/>
      <c r="M176" t="str">
        <f ca="1">IF(AND(L176&lt;TODAY(),I176&lt;&gt;"Complete",L176&lt;&gt;""),"YES","")</f>
        <v/>
      </c>
      <c r="N176" s="7" t="str">
        <f>IF(A176="","",SUMIF(DailyLog[Task ID],A176,DailyLog[Hours]))</f>
        <v/>
      </c>
      <c r="O176" s="8"/>
    </row>
    <row r="177" spans="1:15">
      <c r="A177" t="str">
        <f>IF(C177="","",COUNTIF(C$14:C177,"&lt;&gt;"))</f>
        <v/>
      </c>
      <c r="J177" s="16" t="str">
        <f>IF(I177="Complete",100,IF(I177="In Progress",50,IF(I177="Not Started",0,IF(I177="On Hold",0,IF(I177="Blocked",0,"")))))</f>
        <v/>
      </c>
      <c r="K177" s="9"/>
      <c r="L177" s="9"/>
      <c r="M177" t="str">
        <f ca="1">IF(AND(L177&lt;TODAY(),I177&lt;&gt;"Complete",L177&lt;&gt;""),"YES","")</f>
        <v/>
      </c>
      <c r="N177" s="7" t="str">
        <f>IF(A177="","",SUMIF(DailyLog[Task ID],A177,DailyLog[Hours]))</f>
        <v/>
      </c>
      <c r="O177" s="8"/>
    </row>
    <row r="178" spans="1:15">
      <c r="A178" t="str">
        <f>IF(C178="","",COUNTIF(C$14:C178,"&lt;&gt;"))</f>
        <v/>
      </c>
      <c r="J178" s="16" t="str">
        <f>IF(I178="Complete",100,IF(I178="In Progress",50,IF(I178="Not Started",0,IF(I178="On Hold",0,IF(I178="Blocked",0,"")))))</f>
        <v/>
      </c>
      <c r="K178" s="9"/>
      <c r="L178" s="9"/>
      <c r="M178" t="str">
        <f ca="1">IF(AND(L178&lt;TODAY(),I178&lt;&gt;"Complete",L178&lt;&gt;""),"YES","")</f>
        <v/>
      </c>
      <c r="N178" s="7" t="str">
        <f>IF(A178="","",SUMIF(DailyLog[Task ID],A178,DailyLog[Hours]))</f>
        <v/>
      </c>
      <c r="O178" s="8"/>
    </row>
    <row r="179" spans="1:15">
      <c r="A179" t="str">
        <f>IF(C179="","",COUNTIF(C$14:C179,"&lt;&gt;"))</f>
        <v/>
      </c>
      <c r="J179" s="16" t="str">
        <f>IF(I179="Complete",100,IF(I179="In Progress",50,IF(I179="Not Started",0,IF(I179="On Hold",0,IF(I179="Blocked",0,"")))))</f>
        <v/>
      </c>
      <c r="K179" s="9"/>
      <c r="L179" s="9"/>
      <c r="M179" t="str">
        <f ca="1">IF(AND(L179&lt;TODAY(),I179&lt;&gt;"Complete",L179&lt;&gt;""),"YES","")</f>
        <v/>
      </c>
      <c r="N179" s="7" t="str">
        <f>IF(A179="","",SUMIF(DailyLog[Task ID],A179,DailyLog[Hours]))</f>
        <v/>
      </c>
      <c r="O179" s="8"/>
    </row>
    <row r="180" spans="1:15">
      <c r="A180" t="str">
        <f>IF(C180="","",COUNTIF(C$14:C180,"&lt;&gt;"))</f>
        <v/>
      </c>
      <c r="J180" s="16" t="str">
        <f>IF(I180="Complete",100,IF(I180="In Progress",50,IF(I180="Not Started",0,IF(I180="On Hold",0,IF(I180="Blocked",0,"")))))</f>
        <v/>
      </c>
      <c r="K180" s="9"/>
      <c r="L180" s="9"/>
      <c r="M180" t="str">
        <f ca="1">IF(AND(L180&lt;TODAY(),I180&lt;&gt;"Complete",L180&lt;&gt;""),"YES","")</f>
        <v/>
      </c>
      <c r="N180" s="7" t="str">
        <f>IF(A180="","",SUMIF(DailyLog[Task ID],A180,DailyLog[Hours]))</f>
        <v/>
      </c>
      <c r="O180" s="8"/>
    </row>
    <row r="181" spans="1:15">
      <c r="A181" t="str">
        <f>IF(C181="","",COUNTIF(C$14:C181,"&lt;&gt;"))</f>
        <v/>
      </c>
      <c r="J181" s="16" t="str">
        <f>IF(I181="Complete",100,IF(I181="In Progress",50,IF(I181="Not Started",0,IF(I181="On Hold",0,IF(I181="Blocked",0,"")))))</f>
        <v/>
      </c>
      <c r="K181" s="9"/>
      <c r="L181" s="9"/>
      <c r="M181" t="str">
        <f ca="1">IF(AND(L181&lt;TODAY(),I181&lt;&gt;"Complete",L181&lt;&gt;""),"YES","")</f>
        <v/>
      </c>
      <c r="N181" s="7" t="str">
        <f>IF(A181="","",SUMIF(DailyLog[Task ID],A181,DailyLog[Hours]))</f>
        <v/>
      </c>
      <c r="O181" s="8"/>
    </row>
    <row r="182" spans="1:15">
      <c r="A182" t="str">
        <f>IF(C182="","",COUNTIF(C$14:C182,"&lt;&gt;"))</f>
        <v/>
      </c>
      <c r="J182" s="16" t="str">
        <f>IF(I182="Complete",100,IF(I182="In Progress",50,IF(I182="Not Started",0,IF(I182="On Hold",0,IF(I182="Blocked",0,"")))))</f>
        <v/>
      </c>
      <c r="K182" s="9"/>
      <c r="L182" s="9"/>
      <c r="M182" t="str">
        <f ca="1">IF(AND(L182&lt;TODAY(),I182&lt;&gt;"Complete",L182&lt;&gt;""),"YES","")</f>
        <v/>
      </c>
      <c r="N182" s="7" t="str">
        <f>IF(A182="","",SUMIF(DailyLog[Task ID],A182,DailyLog[Hours]))</f>
        <v/>
      </c>
      <c r="O182" s="8"/>
    </row>
    <row r="183" spans="1:15">
      <c r="A183" t="str">
        <f>IF(C183="","",COUNTIF(C$14:C183,"&lt;&gt;"))</f>
        <v/>
      </c>
      <c r="J183" s="16" t="str">
        <f>IF(I183="Complete",100,IF(I183="In Progress",50,IF(I183="Not Started",0,IF(I183="On Hold",0,IF(I183="Blocked",0,"")))))</f>
        <v/>
      </c>
      <c r="K183" s="9"/>
      <c r="L183" s="9"/>
      <c r="M183" t="str">
        <f ca="1">IF(AND(L183&lt;TODAY(),I183&lt;&gt;"Complete",L183&lt;&gt;""),"YES","")</f>
        <v/>
      </c>
      <c r="N183" s="7" t="str">
        <f>IF(A183="","",SUMIF(DailyLog[Task ID],A183,DailyLog[Hours]))</f>
        <v/>
      </c>
      <c r="O183" s="8"/>
    </row>
    <row r="184" spans="1:15">
      <c r="A184" t="str">
        <f>IF(C184="","",COUNTIF(C$14:C184,"&lt;&gt;"))</f>
        <v/>
      </c>
      <c r="J184" s="16" t="str">
        <f>IF(I184="Complete",100,IF(I184="In Progress",50,IF(I184="Not Started",0,IF(I184="On Hold",0,IF(I184="Blocked",0,"")))))</f>
        <v/>
      </c>
      <c r="K184" s="9"/>
      <c r="L184" s="9"/>
      <c r="M184" t="str">
        <f ca="1">IF(AND(L184&lt;TODAY(),I184&lt;&gt;"Complete",L184&lt;&gt;""),"YES","")</f>
        <v/>
      </c>
      <c r="N184" s="7" t="str">
        <f>IF(A184="","",SUMIF(DailyLog[Task ID],A184,DailyLog[Hours]))</f>
        <v/>
      </c>
      <c r="O184" s="8"/>
    </row>
    <row r="185" spans="1:15">
      <c r="A185" t="str">
        <f>IF(C185="","",COUNTIF(C$14:C185,"&lt;&gt;"))</f>
        <v/>
      </c>
      <c r="J185" s="16" t="str">
        <f>IF(I185="Complete",100,IF(I185="In Progress",50,IF(I185="Not Started",0,IF(I185="On Hold",0,IF(I185="Blocked",0,"")))))</f>
        <v/>
      </c>
      <c r="K185" s="9"/>
      <c r="L185" s="9"/>
      <c r="M185" t="str">
        <f ca="1">IF(AND(L185&lt;TODAY(),I185&lt;&gt;"Complete",L185&lt;&gt;""),"YES","")</f>
        <v/>
      </c>
      <c r="N185" s="7" t="str">
        <f>IF(A185="","",SUMIF(DailyLog[Task ID],A185,DailyLog[Hours]))</f>
        <v/>
      </c>
      <c r="O185" s="8"/>
    </row>
    <row r="186" spans="1:15">
      <c r="A186" t="str">
        <f>IF(C186="","",COUNTIF(C$14:C186,"&lt;&gt;"))</f>
        <v/>
      </c>
      <c r="J186" s="16" t="str">
        <f>IF(I186="Complete",100,IF(I186="In Progress",50,IF(I186="Not Started",0,IF(I186="On Hold",0,IF(I186="Blocked",0,"")))))</f>
        <v/>
      </c>
      <c r="K186" s="9"/>
      <c r="L186" s="9"/>
      <c r="M186" t="str">
        <f ca="1">IF(AND(L186&lt;TODAY(),I186&lt;&gt;"Complete",L186&lt;&gt;""),"YES","")</f>
        <v/>
      </c>
      <c r="N186" s="7" t="str">
        <f>IF(A186="","",SUMIF(DailyLog[Task ID],A186,DailyLog[Hours]))</f>
        <v/>
      </c>
      <c r="O186" s="8"/>
    </row>
    <row r="187" spans="1:15">
      <c r="A187" t="str">
        <f>IF(C187="","",COUNTIF(C$14:C187,"&lt;&gt;"))</f>
        <v/>
      </c>
      <c r="J187" s="16" t="str">
        <f>IF(I187="Complete",100,IF(I187="In Progress",50,IF(I187="Not Started",0,IF(I187="On Hold",0,IF(I187="Blocked",0,"")))))</f>
        <v/>
      </c>
      <c r="K187" s="9"/>
      <c r="L187" s="9"/>
      <c r="M187" t="str">
        <f ca="1">IF(AND(L187&lt;TODAY(),I187&lt;&gt;"Complete",L187&lt;&gt;""),"YES","")</f>
        <v/>
      </c>
      <c r="N187" s="7" t="str">
        <f>IF(A187="","",SUMIF(DailyLog[Task ID],A187,DailyLog[Hours]))</f>
        <v/>
      </c>
      <c r="O187" s="8"/>
    </row>
    <row r="188" spans="1:15">
      <c r="A188" t="str">
        <f>IF(C188="","",COUNTIF(C$14:C188,"&lt;&gt;"))</f>
        <v/>
      </c>
      <c r="J188" s="16" t="str">
        <f>IF(I188="Complete",100,IF(I188="In Progress",50,IF(I188="Not Started",0,IF(I188="On Hold",0,IF(I188="Blocked",0,"")))))</f>
        <v/>
      </c>
      <c r="K188" s="9"/>
      <c r="L188" s="9"/>
      <c r="M188" t="str">
        <f ca="1">IF(AND(L188&lt;TODAY(),I188&lt;&gt;"Complete",L188&lt;&gt;""),"YES","")</f>
        <v/>
      </c>
      <c r="N188" s="7" t="str">
        <f>IF(A188="","",SUMIF(DailyLog[Task ID],A188,DailyLog[Hours]))</f>
        <v/>
      </c>
      <c r="O188" s="8"/>
    </row>
    <row r="189" spans="1:15">
      <c r="A189" t="str">
        <f>IF(C189="","",COUNTIF(C$14:C189,"&lt;&gt;"))</f>
        <v/>
      </c>
      <c r="J189" s="16" t="str">
        <f>IF(I189="Complete",100,IF(I189="In Progress",50,IF(I189="Not Started",0,IF(I189="On Hold",0,IF(I189="Blocked",0,"")))))</f>
        <v/>
      </c>
      <c r="K189" s="9"/>
      <c r="L189" s="9"/>
      <c r="M189" t="str">
        <f ca="1">IF(AND(L189&lt;TODAY(),I189&lt;&gt;"Complete",L189&lt;&gt;""),"YES","")</f>
        <v/>
      </c>
      <c r="N189" s="7" t="str">
        <f>IF(A189="","",SUMIF(DailyLog[Task ID],A189,DailyLog[Hours]))</f>
        <v/>
      </c>
      <c r="O189" s="8"/>
    </row>
    <row r="190" spans="1:15">
      <c r="A190" t="str">
        <f>IF(C190="","",COUNTIF(C$14:C190,"&lt;&gt;"))</f>
        <v/>
      </c>
      <c r="J190" s="16" t="str">
        <f>IF(I190="Complete",100,IF(I190="In Progress",50,IF(I190="Not Started",0,IF(I190="On Hold",0,IF(I190="Blocked",0,"")))))</f>
        <v/>
      </c>
      <c r="K190" s="9"/>
      <c r="L190" s="9"/>
      <c r="M190" t="str">
        <f ca="1">IF(AND(L190&lt;TODAY(),I190&lt;&gt;"Complete",L190&lt;&gt;""),"YES","")</f>
        <v/>
      </c>
      <c r="N190" s="7" t="str">
        <f>IF(A190="","",SUMIF(DailyLog[Task ID],A190,DailyLog[Hours]))</f>
        <v/>
      </c>
      <c r="O190" s="8"/>
    </row>
    <row r="191" spans="1:15">
      <c r="A191" t="str">
        <f>IF(C191="","",COUNTIF(C$14:C191,"&lt;&gt;"))</f>
        <v/>
      </c>
      <c r="J191" s="16" t="str">
        <f>IF(I191="Complete",100,IF(I191="In Progress",50,IF(I191="Not Started",0,IF(I191="On Hold",0,IF(I191="Blocked",0,"")))))</f>
        <v/>
      </c>
      <c r="K191" s="9"/>
      <c r="L191" s="9"/>
      <c r="M191" t="str">
        <f ca="1">IF(AND(L191&lt;TODAY(),I191&lt;&gt;"Complete",L191&lt;&gt;""),"YES","")</f>
        <v/>
      </c>
      <c r="N191" s="7" t="str">
        <f>IF(A191="","",SUMIF(DailyLog[Task ID],A191,DailyLog[Hours]))</f>
        <v/>
      </c>
      <c r="O191" s="8"/>
    </row>
    <row r="192" spans="1:15">
      <c r="A192" t="str">
        <f>IF(C192="","",COUNTIF(C$14:C192,"&lt;&gt;"))</f>
        <v/>
      </c>
      <c r="J192" s="16" t="str">
        <f>IF(I192="Complete",100,IF(I192="In Progress",50,IF(I192="Not Started",0,IF(I192="On Hold",0,IF(I192="Blocked",0,"")))))</f>
        <v/>
      </c>
      <c r="K192" s="9"/>
      <c r="L192" s="9"/>
      <c r="M192" t="str">
        <f ca="1">IF(AND(L192&lt;TODAY(),I192&lt;&gt;"Complete",L192&lt;&gt;""),"YES","")</f>
        <v/>
      </c>
      <c r="N192" s="7" t="str">
        <f>IF(A192="","",SUMIF(DailyLog[Task ID],A192,DailyLog[Hours]))</f>
        <v/>
      </c>
      <c r="O192" s="8"/>
    </row>
    <row r="193" spans="1:15">
      <c r="A193" t="str">
        <f>IF(C193="","",COUNTIF(C$14:C193,"&lt;&gt;"))</f>
        <v/>
      </c>
      <c r="J193" s="16" t="str">
        <f>IF(I193="Complete",100,IF(I193="In Progress",50,IF(I193="Not Started",0,IF(I193="On Hold",0,IF(I193="Blocked",0,"")))))</f>
        <v/>
      </c>
      <c r="K193" s="9"/>
      <c r="L193" s="9"/>
      <c r="M193" t="str">
        <f ca="1">IF(AND(L193&lt;TODAY(),I193&lt;&gt;"Complete",L193&lt;&gt;""),"YES","")</f>
        <v/>
      </c>
      <c r="N193" s="7" t="str">
        <f>IF(A193="","",SUMIF(DailyLog[Task ID],A193,DailyLog[Hours]))</f>
        <v/>
      </c>
      <c r="O193" s="8"/>
    </row>
    <row r="194" spans="1:15">
      <c r="A194" t="str">
        <f>IF(C194="","",COUNTIF(C$14:C194,"&lt;&gt;"))</f>
        <v/>
      </c>
      <c r="J194" s="16" t="str">
        <f>IF(I194="Complete",100,IF(I194="In Progress",50,IF(I194="Not Started",0,IF(I194="On Hold",0,IF(I194="Blocked",0,"")))))</f>
        <v/>
      </c>
      <c r="K194" s="9"/>
      <c r="L194" s="9"/>
      <c r="M194" t="str">
        <f ca="1">IF(AND(L194&lt;TODAY(),I194&lt;&gt;"Complete",L194&lt;&gt;""),"YES","")</f>
        <v/>
      </c>
      <c r="N194" s="7" t="str">
        <f>IF(A194="","",SUMIF(DailyLog[Task ID],A194,DailyLog[Hours]))</f>
        <v/>
      </c>
      <c r="O194" s="8"/>
    </row>
    <row r="195" spans="1:15">
      <c r="A195" t="str">
        <f>IF(C195="","",COUNTIF(C$14:C195,"&lt;&gt;"))</f>
        <v/>
      </c>
      <c r="J195" s="16" t="str">
        <f>IF(I195="Complete",100,IF(I195="In Progress",50,IF(I195="Not Started",0,IF(I195="On Hold",0,IF(I195="Blocked",0,"")))))</f>
        <v/>
      </c>
      <c r="K195" s="9"/>
      <c r="L195" s="9"/>
      <c r="M195" t="str">
        <f ca="1">IF(AND(L195&lt;TODAY(),I195&lt;&gt;"Complete",L195&lt;&gt;""),"YES","")</f>
        <v/>
      </c>
      <c r="N195" s="7" t="str">
        <f>IF(A195="","",SUMIF(DailyLog[Task ID],A195,DailyLog[Hours]))</f>
        <v/>
      </c>
      <c r="O195" s="8"/>
    </row>
    <row r="196" spans="1:15">
      <c r="A196" t="str">
        <f>IF(C196="","",COUNTIF(C$14:C196,"&lt;&gt;"))</f>
        <v/>
      </c>
      <c r="J196" s="16" t="str">
        <f>IF(I196="Complete",100,IF(I196="In Progress",50,IF(I196="Not Started",0,IF(I196="On Hold",0,IF(I196="Blocked",0,"")))))</f>
        <v/>
      </c>
      <c r="K196" s="9"/>
      <c r="L196" s="9"/>
      <c r="M196" t="str">
        <f ca="1">IF(AND(L196&lt;TODAY(),I196&lt;&gt;"Complete",L196&lt;&gt;""),"YES","")</f>
        <v/>
      </c>
      <c r="N196" s="7" t="str">
        <f>IF(A196="","",SUMIF(DailyLog[Task ID],A196,DailyLog[Hours]))</f>
        <v/>
      </c>
      <c r="O196" s="8"/>
    </row>
    <row r="197" spans="1:15">
      <c r="A197" t="str">
        <f>IF(C197="","",COUNTIF(C$14:C197,"&lt;&gt;"))</f>
        <v/>
      </c>
      <c r="J197" s="16" t="str">
        <f>IF(I197="Complete",100,IF(I197="In Progress",50,IF(I197="Not Started",0,IF(I197="On Hold",0,IF(I197="Blocked",0,"")))))</f>
        <v/>
      </c>
      <c r="K197" s="9"/>
      <c r="L197" s="9"/>
      <c r="M197" t="str">
        <f ca="1">IF(AND(L197&lt;TODAY(),I197&lt;&gt;"Complete",L197&lt;&gt;""),"YES","")</f>
        <v/>
      </c>
      <c r="N197" s="7" t="str">
        <f>IF(A197="","",SUMIF(DailyLog[Task ID],A197,DailyLog[Hours]))</f>
        <v/>
      </c>
      <c r="O197" s="8"/>
    </row>
    <row r="198" spans="1:15">
      <c r="A198" t="str">
        <f>IF(C198="","",COUNTIF(C$14:C198,"&lt;&gt;"))</f>
        <v/>
      </c>
      <c r="J198" s="16" t="str">
        <f>IF(I198="Complete",100,IF(I198="In Progress",50,IF(I198="Not Started",0,IF(I198="On Hold",0,IF(I198="Blocked",0,"")))))</f>
        <v/>
      </c>
      <c r="K198" s="9"/>
      <c r="L198" s="9"/>
      <c r="M198" t="str">
        <f ca="1">IF(AND(L198&lt;TODAY(),I198&lt;&gt;"Complete",L198&lt;&gt;""),"YES","")</f>
        <v/>
      </c>
      <c r="N198" s="7" t="str">
        <f>IF(A198="","",SUMIF(DailyLog[Task ID],A198,DailyLog[Hours]))</f>
        <v/>
      </c>
      <c r="O198" s="8"/>
    </row>
    <row r="199" spans="1:15">
      <c r="A199" t="str">
        <f>IF(C199="","",COUNTIF(C$14:C199,"&lt;&gt;"))</f>
        <v/>
      </c>
      <c r="J199" s="16" t="str">
        <f>IF(I199="Complete",100,IF(I199="In Progress",50,IF(I199="Not Started",0,IF(I199="On Hold",0,IF(I199="Blocked",0,"")))))</f>
        <v/>
      </c>
      <c r="K199" s="9"/>
      <c r="L199" s="9"/>
      <c r="M199" t="str">
        <f ca="1">IF(AND(L199&lt;TODAY(),I199&lt;&gt;"Complete",L199&lt;&gt;""),"YES","")</f>
        <v/>
      </c>
      <c r="N199" s="7" t="str">
        <f>IF(A199="","",SUMIF(DailyLog[Task ID],A199,DailyLog[Hours]))</f>
        <v/>
      </c>
      <c r="O199" s="8"/>
    </row>
    <row r="200" spans="1:15">
      <c r="A200" t="str">
        <f>IF(C200="","",COUNTIF(C$14:C200,"&lt;&gt;"))</f>
        <v/>
      </c>
      <c r="J200" s="16" t="str">
        <f>IF(I200="Complete",100,IF(I200="In Progress",50,IF(I200="Not Started",0,IF(I200="On Hold",0,IF(I200="Blocked",0,"")))))</f>
        <v/>
      </c>
      <c r="K200" s="9"/>
      <c r="L200" s="9"/>
      <c r="M200" t="str">
        <f ca="1">IF(AND(L200&lt;TODAY(),I200&lt;&gt;"Complete",L200&lt;&gt;""),"YES","")</f>
        <v/>
      </c>
      <c r="N200" s="7" t="str">
        <f>IF(A200="","",SUMIF(DailyLog[Task ID],A200,DailyLog[Hours]))</f>
        <v/>
      </c>
      <c r="O200" s="8"/>
    </row>
    <row r="201" spans="1:15">
      <c r="A201" t="str">
        <f>IF(C201="","",COUNTIF(C$14:C201,"&lt;&gt;"))</f>
        <v/>
      </c>
      <c r="J201" s="16" t="str">
        <f>IF(I201="Complete",100,IF(I201="In Progress",50,IF(I201="Not Started",0,IF(I201="On Hold",0,IF(I201="Blocked",0,"")))))</f>
        <v/>
      </c>
      <c r="K201" s="9"/>
      <c r="L201" s="9"/>
      <c r="M201" t="str">
        <f ca="1">IF(AND(L201&lt;TODAY(),I201&lt;&gt;"Complete",L201&lt;&gt;""),"YES","")</f>
        <v/>
      </c>
      <c r="N201" s="7" t="str">
        <f>IF(A201="","",SUMIF(DailyLog[Task ID],A201,DailyLog[Hours]))</f>
        <v/>
      </c>
      <c r="O201" s="8"/>
    </row>
    <row r="202" spans="1:15">
      <c r="A202" t="str">
        <f>IF(C202="","",COUNTIF(C$14:C202,"&lt;&gt;"))</f>
        <v/>
      </c>
      <c r="J202" s="16" t="str">
        <f>IF(I202="Complete",100,IF(I202="In Progress",50,IF(I202="Not Started",0,IF(I202="On Hold",0,IF(I202="Blocked",0,"")))))</f>
        <v/>
      </c>
      <c r="K202" s="9"/>
      <c r="L202" s="9"/>
      <c r="M202" t="str">
        <f ca="1">IF(AND(L202&lt;TODAY(),I202&lt;&gt;"Complete",L202&lt;&gt;""),"YES","")</f>
        <v/>
      </c>
      <c r="N202" s="7" t="str">
        <f>IF(A202="","",SUMIF(DailyLog[Task ID],A202,DailyLog[Hours]))</f>
        <v/>
      </c>
      <c r="O202" s="8"/>
    </row>
    <row r="203" spans="1:15">
      <c r="A203" t="str">
        <f>IF(C203="","",COUNTIF(C$14:C203,"&lt;&gt;"))</f>
        <v/>
      </c>
      <c r="J203" s="16" t="str">
        <f>IF(I203="Complete",100,IF(I203="In Progress",50,IF(I203="Not Started",0,IF(I203="On Hold",0,IF(I203="Blocked",0,"")))))</f>
        <v/>
      </c>
      <c r="K203" s="9"/>
      <c r="L203" s="9"/>
      <c r="M203" t="str">
        <f ca="1">IF(AND(L203&lt;TODAY(),I203&lt;&gt;"Complete",L203&lt;&gt;""),"YES","")</f>
        <v/>
      </c>
      <c r="N203" s="7" t="str">
        <f>IF(A203="","",SUMIF(DailyLog[Task ID],A203,DailyLog[Hours]))</f>
        <v/>
      </c>
      <c r="O203" s="8"/>
    </row>
    <row r="204" spans="1:15">
      <c r="A204" t="str">
        <f>IF(C204="","",COUNTIF(C$14:C204,"&lt;&gt;"))</f>
        <v/>
      </c>
      <c r="J204" s="16" t="str">
        <f>IF(I204="Complete",100,IF(I204="In Progress",50,IF(I204="Not Started",0,IF(I204="On Hold",0,IF(I204="Blocked",0,"")))))</f>
        <v/>
      </c>
      <c r="K204" s="9"/>
      <c r="L204" s="9"/>
      <c r="M204" t="str">
        <f ca="1">IF(AND(L204&lt;TODAY(),I204&lt;&gt;"Complete",L204&lt;&gt;""),"YES","")</f>
        <v/>
      </c>
      <c r="N204" s="7" t="str">
        <f>IF(A204="","",SUMIF(DailyLog[Task ID],A204,DailyLog[Hours]))</f>
        <v/>
      </c>
      <c r="O204" s="8"/>
    </row>
    <row r="205" spans="1:15">
      <c r="A205" t="str">
        <f>IF(C205="","",COUNTIF(C$14:C205,"&lt;&gt;"))</f>
        <v/>
      </c>
      <c r="J205" s="16" t="str">
        <f>IF(I205="Complete",100,IF(I205="In Progress",50,IF(I205="Not Started",0,IF(I205="On Hold",0,IF(I205="Blocked",0,"")))))</f>
        <v/>
      </c>
      <c r="K205" s="9"/>
      <c r="L205" s="9"/>
      <c r="M205" t="str">
        <f ca="1">IF(AND(L205&lt;TODAY(),I205&lt;&gt;"Complete",L205&lt;&gt;""),"YES","")</f>
        <v/>
      </c>
      <c r="N205" s="7" t="str">
        <f>IF(A205="","",SUMIF(DailyLog[Task ID],A205,DailyLog[Hours]))</f>
        <v/>
      </c>
      <c r="O205" s="8"/>
    </row>
    <row r="206" spans="1:15">
      <c r="A206" t="str">
        <f>IF(C206="","",COUNTIF(C$14:C206,"&lt;&gt;"))</f>
        <v/>
      </c>
      <c r="J206" s="16" t="str">
        <f>IF(I206="Complete",100,IF(I206="In Progress",50,IF(I206="Not Started",0,IF(I206="On Hold",0,IF(I206="Blocked",0,"")))))</f>
        <v/>
      </c>
      <c r="K206" s="9"/>
      <c r="L206" s="9"/>
      <c r="M206" t="str">
        <f ca="1">IF(AND(L206&lt;TODAY(),I206&lt;&gt;"Complete",L206&lt;&gt;""),"YES","")</f>
        <v/>
      </c>
      <c r="N206" s="7" t="str">
        <f>IF(A206="","",SUMIF(DailyLog[Task ID],A206,DailyLog[Hours]))</f>
        <v/>
      </c>
      <c r="O206" s="8"/>
    </row>
    <row r="207" spans="1:15">
      <c r="A207" t="str">
        <f>IF(C207="","",COUNTIF(C$14:C207,"&lt;&gt;"))</f>
        <v/>
      </c>
      <c r="J207" s="16" t="str">
        <f>IF(I207="Complete",100,IF(I207="In Progress",50,IF(I207="Not Started",0,IF(I207="On Hold",0,IF(I207="Blocked",0,"")))))</f>
        <v/>
      </c>
      <c r="K207" s="9"/>
      <c r="L207" s="9"/>
      <c r="M207" t="str">
        <f ca="1">IF(AND(L207&lt;TODAY(),I207&lt;&gt;"Complete",L207&lt;&gt;""),"YES","")</f>
        <v/>
      </c>
      <c r="N207" s="7" t="str">
        <f>IF(A207="","",SUMIF(DailyLog[Task ID],A207,DailyLog[Hours]))</f>
        <v/>
      </c>
      <c r="O207" s="8"/>
    </row>
    <row r="208" spans="1:15">
      <c r="A208" t="str">
        <f>IF(C208="","",COUNTIF(C$14:C208,"&lt;&gt;"))</f>
        <v/>
      </c>
      <c r="J208" s="16" t="str">
        <f>IF(I208="Complete",100,IF(I208="In Progress",50,IF(I208="Not Started",0,IF(I208="On Hold",0,IF(I208="Blocked",0,"")))))</f>
        <v/>
      </c>
      <c r="K208" s="9"/>
      <c r="L208" s="9"/>
      <c r="M208" t="str">
        <f ca="1">IF(AND(L208&lt;TODAY(),I208&lt;&gt;"Complete",L208&lt;&gt;""),"YES","")</f>
        <v/>
      </c>
      <c r="N208" s="7" t="str">
        <f>IF(A208="","",SUMIF(DailyLog[Task ID],A208,DailyLog[Hours]))</f>
        <v/>
      </c>
      <c r="O208" s="8"/>
    </row>
    <row r="209" spans="1:15">
      <c r="A209" t="str">
        <f>IF(C209="","",COUNTIF(C$14:C209,"&lt;&gt;"))</f>
        <v/>
      </c>
      <c r="J209" s="16" t="str">
        <f>IF(I209="Complete",100,IF(I209="In Progress",50,IF(I209="Not Started",0,IF(I209="On Hold",0,IF(I209="Blocked",0,"")))))</f>
        <v/>
      </c>
      <c r="K209" s="9"/>
      <c r="L209" s="9"/>
      <c r="M209" t="str">
        <f ca="1">IF(AND(L209&lt;TODAY(),I209&lt;&gt;"Complete",L209&lt;&gt;""),"YES","")</f>
        <v/>
      </c>
      <c r="N209" s="7" t="str">
        <f>IF(A209="","",SUMIF(DailyLog[Task ID],A209,DailyLog[Hours]))</f>
        <v/>
      </c>
      <c r="O209" s="8"/>
    </row>
    <row r="210" spans="1:15">
      <c r="A210" t="str">
        <f>IF(C210="","",COUNTIF(C$14:C210,"&lt;&gt;"))</f>
        <v/>
      </c>
      <c r="J210" s="16" t="str">
        <f>IF(I210="Complete",100,IF(I210="In Progress",50,IF(I210="Not Started",0,IF(I210="On Hold",0,IF(I210="Blocked",0,"")))))</f>
        <v/>
      </c>
      <c r="K210" s="9"/>
      <c r="L210" s="9"/>
      <c r="M210" t="str">
        <f ca="1">IF(AND(L210&lt;TODAY(),I210&lt;&gt;"Complete",L210&lt;&gt;""),"YES","")</f>
        <v/>
      </c>
      <c r="N210" s="7" t="str">
        <f>IF(A210="","",SUMIF(DailyLog[Task ID],A210,DailyLog[Hours]))</f>
        <v/>
      </c>
      <c r="O210" s="8"/>
    </row>
    <row r="211" spans="1:15">
      <c r="A211" t="str">
        <f>IF(C211="","",COUNTIF(C$14:C211,"&lt;&gt;"))</f>
        <v/>
      </c>
      <c r="J211" s="16" t="str">
        <f>IF(I211="Complete",100,IF(I211="In Progress",50,IF(I211="Not Started",0,IF(I211="On Hold",0,IF(I211="Blocked",0,"")))))</f>
        <v/>
      </c>
      <c r="K211" s="9"/>
      <c r="L211" s="9"/>
      <c r="M211" t="str">
        <f ca="1">IF(AND(L211&lt;TODAY(),I211&lt;&gt;"Complete",L211&lt;&gt;""),"YES","")</f>
        <v/>
      </c>
      <c r="N211" s="7" t="str">
        <f>IF(A211="","",SUMIF(DailyLog[Task ID],A211,DailyLog[Hours]))</f>
        <v/>
      </c>
      <c r="O211" s="8"/>
    </row>
    <row r="212" spans="1:15">
      <c r="A212" t="str">
        <f>IF(C212="","",COUNTIF(C$14:C212,"&lt;&gt;"))</f>
        <v/>
      </c>
      <c r="J212" s="16" t="str">
        <f>IF(I212="Complete",100,IF(I212="In Progress",50,IF(I212="Not Started",0,IF(I212="On Hold",0,IF(I212="Blocked",0,"")))))</f>
        <v/>
      </c>
      <c r="K212" s="9"/>
      <c r="L212" s="9"/>
      <c r="M212" t="str">
        <f ca="1">IF(AND(L212&lt;TODAY(),I212&lt;&gt;"Complete",L212&lt;&gt;""),"YES","")</f>
        <v/>
      </c>
      <c r="N212" s="7" t="str">
        <f>IF(A212="","",SUMIF(DailyLog[Task ID],A212,DailyLog[Hours]))</f>
        <v/>
      </c>
      <c r="O212" s="8"/>
    </row>
    <row r="213" spans="1:15">
      <c r="A213" t="str">
        <f>IF(C213="","",COUNTIF(C$14:C213,"&lt;&gt;"))</f>
        <v/>
      </c>
      <c r="J213" s="16" t="str">
        <f>IF(I213="Complete",100,IF(I213="In Progress",50,IF(I213="Not Started",0,IF(I213="On Hold",0,IF(I213="Blocked",0,"")))))</f>
        <v/>
      </c>
      <c r="K213" s="9"/>
      <c r="L213" s="9"/>
      <c r="M213" t="str">
        <f ca="1">IF(AND(L213&lt;TODAY(),I213&lt;&gt;"Complete",L213&lt;&gt;""),"YES","")</f>
        <v/>
      </c>
      <c r="N213" s="7" t="str">
        <f>IF(A213="","",SUMIF(DailyLog[Task ID],A213,DailyLog[Hours]))</f>
        <v/>
      </c>
      <c r="O213" s="8"/>
    </row>
  </sheetData>
  <mergeCells count="4">
    <mergeCell ref="C5:K5"/>
    <mergeCell ref="A5:B5"/>
    <mergeCell ref="C6:K11"/>
    <mergeCell ref="C3:N3"/>
  </mergeCells>
  <conditionalFormatting sqref="A14:M213">
    <cfRule type="expression" dxfId="12" priority="5">
      <formula>$M14="YES"</formula>
    </cfRule>
  </conditionalFormatting>
  <conditionalFormatting sqref="I14:I213">
    <cfRule type="expression" dxfId="11" priority="1">
      <formula>I14="Complete"</formula>
    </cfRule>
    <cfRule type="expression" dxfId="10" priority="2">
      <formula>I14="In Progress"</formula>
    </cfRule>
    <cfRule type="expression" dxfId="9" priority="3">
      <formula>I14="Blocked"</formula>
    </cfRule>
  </conditionalFormatting>
  <conditionalFormatting sqref="I14:J100">
    <cfRule type="expression" dxfId="8" priority="6">
      <formula>AND($I14="Complete",$J14&lt;1)</formula>
    </cfRule>
    <cfRule type="expression" dxfId="7" priority="7">
      <formula>AND($I14="Not Started",$J14&gt;0)</formula>
    </cfRule>
    <cfRule type="expression" dxfId="6" priority="8">
      <formula>OR(AND($I14="Complete",$J14=1),AND($I14="Not Started",$J14=0),AND($I14="In Progress",$J14&gt;0,$J14&lt;=0.5),AND($I14="Nearly Complete",$J14&gt;0.5,$J14&lt;1))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selection activeCell="B3" sqref="B3"/>
    </sheetView>
  </sheetViews>
  <sheetFormatPr defaultRowHeight="14.45"/>
  <cols>
    <col min="1" max="1" width="18" customWidth="1"/>
    <col min="2" max="11" width="22" customWidth="1"/>
  </cols>
  <sheetData>
    <row r="1" spans="1:7" ht="21.95" customHeight="1">
      <c r="A1" s="10" t="s">
        <v>103</v>
      </c>
    </row>
    <row r="3" spans="1:7">
      <c r="A3" s="11" t="s">
        <v>23</v>
      </c>
      <c r="B3" s="2" t="s">
        <v>95</v>
      </c>
      <c r="C3" s="2" t="s">
        <v>44</v>
      </c>
      <c r="D3" s="2" t="s">
        <v>37</v>
      </c>
      <c r="E3" s="2" t="s">
        <v>104</v>
      </c>
      <c r="F3" s="2" t="s">
        <v>66</v>
      </c>
    </row>
    <row r="5" spans="1:7">
      <c r="A5" s="11" t="s">
        <v>19</v>
      </c>
      <c r="B5" s="2" t="s">
        <v>33</v>
      </c>
      <c r="C5" s="2" t="s">
        <v>49</v>
      </c>
      <c r="D5" s="2" t="s">
        <v>99</v>
      </c>
      <c r="E5" s="2" t="s">
        <v>105</v>
      </c>
    </row>
    <row r="7" spans="1:7">
      <c r="A7" s="11" t="s">
        <v>106</v>
      </c>
      <c r="B7" s="2" t="s">
        <v>107</v>
      </c>
      <c r="C7" s="2" t="s">
        <v>108</v>
      </c>
      <c r="D7" s="2" t="s">
        <v>109</v>
      </c>
      <c r="E7" s="2" t="s">
        <v>110</v>
      </c>
      <c r="F7" s="2" t="s">
        <v>111</v>
      </c>
      <c r="G7" s="2" t="s">
        <v>112</v>
      </c>
    </row>
    <row r="9" spans="1:7">
      <c r="A9" s="11" t="s">
        <v>18</v>
      </c>
      <c r="B9" s="2" t="s">
        <v>32</v>
      </c>
      <c r="C9" s="2" t="s">
        <v>70</v>
      </c>
      <c r="D9" s="2" t="s">
        <v>55</v>
      </c>
      <c r="E9" s="2" t="s">
        <v>48</v>
      </c>
      <c r="F9" s="2" t="s">
        <v>62</v>
      </c>
    </row>
    <row r="11" spans="1:7">
      <c r="A11" s="11" t="s">
        <v>113</v>
      </c>
      <c r="B11" s="2" t="s">
        <v>114</v>
      </c>
      <c r="C11" s="2" t="s">
        <v>115</v>
      </c>
    </row>
    <row r="13" spans="1:7">
      <c r="A13" t="s">
        <v>116</v>
      </c>
      <c r="B13" t="str">
        <f t="array" ref="B13">IFERROR(TRANSPOSE(_xlfn.UNIQUE(_xlfn._xlws.FILTER('Daily Log'!B7:B500,'Daily Log'!B7:B500&lt;&gt;""))),"")</f>
        <v/>
      </c>
    </row>
    <row r="15" spans="1:7">
      <c r="A15" s="25" t="s">
        <v>117</v>
      </c>
      <c r="B15">
        <f t="array" ref="B15">IFERROR(TRANSPOSE(_xlfn._xlws.FILTER('SOW Tasks'!A14:A100,'SOW Tasks'!A14:A100&lt;&gt;"")),"")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6"/>
  <sheetViews>
    <sheetView showGridLines="0" workbookViewId="0">
      <selection activeCell="E7" sqref="E7"/>
    </sheetView>
  </sheetViews>
  <sheetFormatPr defaultRowHeight="14.45"/>
  <cols>
    <col min="1" max="1" width="12" customWidth="1"/>
    <col min="2" max="2" width="18" customWidth="1"/>
    <col min="3" max="3" width="8" customWidth="1"/>
    <col min="4" max="4" width="28" customWidth="1"/>
    <col min="5" max="5" width="10" customWidth="1"/>
    <col min="6" max="6" width="44" customWidth="1"/>
    <col min="7" max="7" width="16" customWidth="1"/>
  </cols>
  <sheetData>
    <row r="1" spans="1:7" ht="33.950000000000003" customHeight="1">
      <c r="D1" s="40" t="s">
        <v>118</v>
      </c>
      <c r="E1" s="46"/>
      <c r="F1" s="46"/>
      <c r="G1" s="46"/>
    </row>
    <row r="2" spans="1:7" ht="20.100000000000001" customHeight="1">
      <c r="D2" s="39" t="s">
        <v>119</v>
      </c>
      <c r="E2" s="46"/>
      <c r="F2" s="46"/>
      <c r="G2" s="46"/>
    </row>
    <row r="3" spans="1:7" ht="6" customHeight="1">
      <c r="D3" s="41"/>
      <c r="E3" s="46"/>
      <c r="F3" s="46"/>
      <c r="G3" s="46"/>
    </row>
    <row r="6" spans="1:7" ht="26.1" customHeight="1">
      <c r="A6" s="1" t="s">
        <v>120</v>
      </c>
      <c r="B6" s="1" t="s">
        <v>121</v>
      </c>
      <c r="C6" s="1" t="s">
        <v>122</v>
      </c>
      <c r="D6" s="26" t="s">
        <v>123</v>
      </c>
      <c r="E6" s="1" t="s">
        <v>124</v>
      </c>
      <c r="F6" s="1" t="s">
        <v>125</v>
      </c>
      <c r="G6" s="1" t="s">
        <v>126</v>
      </c>
    </row>
    <row r="7" spans="1:7">
      <c r="A7" s="12"/>
      <c r="B7" s="13"/>
      <c r="C7" s="13"/>
      <c r="D7" s="8"/>
      <c r="E7" s="7"/>
      <c r="F7" s="8"/>
      <c r="G7" s="13"/>
    </row>
    <row r="8" spans="1:7">
      <c r="A8" s="12"/>
      <c r="B8" s="13"/>
      <c r="C8" s="13"/>
      <c r="D8" s="8" t="str">
        <f>IF(C8="","",IFERROR(VLOOKUP(C8,SOWTasks[[ID]:[Task / Scope Description]],3,FALSE),""))</f>
        <v/>
      </c>
      <c r="E8" s="7"/>
      <c r="F8" s="8"/>
      <c r="G8" s="13"/>
    </row>
    <row r="9" spans="1:7">
      <c r="A9" s="12"/>
      <c r="B9" s="13"/>
      <c r="C9" s="13"/>
      <c r="D9" s="8" t="str">
        <f>IF(C9="","",IFERROR(VLOOKUP(C9,SOWTasks[[ID]:[Task / Scope Description]],3,FALSE),""))</f>
        <v/>
      </c>
      <c r="E9" s="7"/>
      <c r="F9" s="8"/>
      <c r="G9" s="13"/>
    </row>
    <row r="10" spans="1:7">
      <c r="A10" s="12"/>
      <c r="B10" s="13"/>
      <c r="C10" s="13"/>
      <c r="D10" s="8" t="str">
        <f>IF(C10="","",IFERROR(VLOOKUP(C10,SOWTasks[[ID]:[Task / Scope Description]],3,FALSE),""))</f>
        <v/>
      </c>
      <c r="E10" s="7"/>
      <c r="F10" s="8"/>
      <c r="G10" s="13"/>
    </row>
    <row r="11" spans="1:7">
      <c r="A11" s="12"/>
      <c r="B11" s="13"/>
      <c r="C11" s="13"/>
      <c r="D11" s="8" t="str">
        <f>IF(C11="","",IFERROR(VLOOKUP(C11,SOWTasks[[ID]:[Task / Scope Description]],3,FALSE),""))</f>
        <v/>
      </c>
      <c r="E11" s="7"/>
      <c r="F11" s="8"/>
      <c r="G11" s="13"/>
    </row>
    <row r="12" spans="1:7">
      <c r="A12" s="12"/>
      <c r="B12" s="13"/>
      <c r="C12" s="13"/>
      <c r="D12" s="8" t="str">
        <f>IF(C12="","",IFERROR(VLOOKUP(C12,SOWTasks[[ID]:[Task / Scope Description]],3,FALSE),""))</f>
        <v/>
      </c>
      <c r="E12" s="7"/>
      <c r="F12" s="8"/>
      <c r="G12" s="13"/>
    </row>
    <row r="13" spans="1:7">
      <c r="A13" s="12"/>
      <c r="B13" s="13"/>
      <c r="C13" s="13"/>
      <c r="D13" s="8" t="str">
        <f>IF(C13="","",IFERROR(VLOOKUP(C13,SOWTasks[[ID]:[Task / Scope Description]],3,FALSE),""))</f>
        <v/>
      </c>
      <c r="E13" s="7"/>
      <c r="F13" s="8"/>
      <c r="G13" s="13"/>
    </row>
    <row r="14" spans="1:7">
      <c r="A14" s="12"/>
      <c r="B14" s="13"/>
      <c r="C14" s="13"/>
      <c r="D14" s="8" t="str">
        <f>IF(C14="","",IFERROR(VLOOKUP(C14,SOWTasks[[ID]:[Task / Scope Description]],3,FALSE),""))</f>
        <v/>
      </c>
      <c r="E14" s="7"/>
      <c r="F14" s="8"/>
      <c r="G14" s="13"/>
    </row>
    <row r="15" spans="1:7">
      <c r="A15" s="12"/>
      <c r="B15" s="13"/>
      <c r="C15" s="13"/>
      <c r="D15" s="8" t="str">
        <f>IF(C15="","",IFERROR(VLOOKUP(C15,SOWTasks[[ID]:[Task / Scope Description]],3,FALSE),""))</f>
        <v/>
      </c>
      <c r="E15" s="7"/>
      <c r="F15" s="8"/>
      <c r="G15" s="13"/>
    </row>
    <row r="16" spans="1:7">
      <c r="A16" s="12"/>
      <c r="B16" s="13"/>
      <c r="C16" s="13"/>
      <c r="D16" s="8" t="str">
        <f>IF(C16="","",IFERROR(VLOOKUP(C16,SOWTasks[[ID]:[Task / Scope Description]],3,FALSE),""))</f>
        <v/>
      </c>
      <c r="E16" s="7"/>
      <c r="F16" s="8"/>
      <c r="G16" s="13"/>
    </row>
    <row r="17" spans="1:7">
      <c r="A17" s="12"/>
      <c r="B17" s="13"/>
      <c r="C17" s="13"/>
      <c r="D17" s="8" t="str">
        <f>IF(C17="","",IFERROR(VLOOKUP(C17,SOWTasks[[ID]:[Task / Scope Description]],3,FALSE),""))</f>
        <v/>
      </c>
      <c r="E17" s="7"/>
      <c r="F17" s="8"/>
      <c r="G17" s="13"/>
    </row>
    <row r="18" spans="1:7">
      <c r="A18" s="12"/>
      <c r="B18" s="13"/>
      <c r="C18" s="13"/>
      <c r="D18" s="8" t="str">
        <f>IF(C18="","",IFERROR(VLOOKUP(C18,SOWTasks[[ID]:[Task / Scope Description]],3,FALSE),""))</f>
        <v/>
      </c>
      <c r="E18" s="7"/>
      <c r="F18" s="8"/>
      <c r="G18" s="13"/>
    </row>
    <row r="19" spans="1:7">
      <c r="A19" s="12"/>
      <c r="B19" s="13"/>
      <c r="C19" s="13"/>
      <c r="D19" s="8" t="str">
        <f>IF(C19="","",IFERROR(VLOOKUP(C19,SOWTasks[[ID]:[Task / Scope Description]],3,FALSE),""))</f>
        <v/>
      </c>
      <c r="E19" s="7"/>
      <c r="F19" s="8"/>
      <c r="G19" s="13"/>
    </row>
    <row r="20" spans="1:7">
      <c r="A20" s="12"/>
      <c r="B20" s="13"/>
      <c r="C20" s="13"/>
      <c r="D20" s="8" t="str">
        <f>IF(C20="","",IFERROR(VLOOKUP(C20,SOWTasks[[ID]:[Task / Scope Description]],3,FALSE),""))</f>
        <v/>
      </c>
      <c r="E20" s="7"/>
      <c r="F20" s="8"/>
      <c r="G20" s="13"/>
    </row>
    <row r="21" spans="1:7">
      <c r="A21" s="12"/>
      <c r="B21" s="13"/>
      <c r="C21" s="13"/>
      <c r="D21" s="8" t="str">
        <f>IF(C21="","",IFERROR(VLOOKUP(C21,SOWTasks[[ID]:[Task / Scope Description]],3,FALSE),""))</f>
        <v/>
      </c>
      <c r="E21" s="7"/>
      <c r="F21" s="8"/>
      <c r="G21" s="13"/>
    </row>
    <row r="22" spans="1:7">
      <c r="A22" s="12"/>
      <c r="B22" s="13"/>
      <c r="C22" s="13"/>
      <c r="D22" s="8" t="str">
        <f>IF(C22="","",IFERROR(VLOOKUP(C22,SOWTasks[[ID]:[Task / Scope Description]],3,FALSE),""))</f>
        <v/>
      </c>
      <c r="E22" s="7"/>
      <c r="F22" s="8"/>
      <c r="G22" s="13"/>
    </row>
    <row r="23" spans="1:7">
      <c r="A23" s="12"/>
      <c r="B23" s="13"/>
      <c r="C23" s="13"/>
      <c r="D23" s="8" t="str">
        <f>IF(C23="","",IFERROR(VLOOKUP(C23,SOWTasks[[ID]:[Task / Scope Description]],3,FALSE),""))</f>
        <v/>
      </c>
      <c r="E23" s="7"/>
      <c r="F23" s="8"/>
      <c r="G23" s="13"/>
    </row>
    <row r="24" spans="1:7">
      <c r="A24" s="12"/>
      <c r="B24" s="13"/>
      <c r="C24" s="13"/>
      <c r="D24" s="8" t="str">
        <f>IF(C24="","",IFERROR(VLOOKUP(C24,SOWTasks[[ID]:[Task / Scope Description]],3,FALSE),""))</f>
        <v/>
      </c>
      <c r="E24" s="7"/>
      <c r="F24" s="8"/>
      <c r="G24" s="13"/>
    </row>
    <row r="25" spans="1:7">
      <c r="A25" s="12"/>
      <c r="B25" s="13"/>
      <c r="C25" s="13"/>
      <c r="D25" s="8" t="str">
        <f>IF(C25="","",IFERROR(VLOOKUP(C25,SOWTasks[[ID]:[Task / Scope Description]],3,FALSE),""))</f>
        <v/>
      </c>
      <c r="E25" s="7"/>
      <c r="F25" s="8"/>
      <c r="G25" s="13"/>
    </row>
    <row r="26" spans="1:7">
      <c r="A26" s="12"/>
      <c r="B26" s="13"/>
      <c r="C26" s="13"/>
      <c r="D26" s="8" t="str">
        <f>IF(C26="","",IFERROR(VLOOKUP(C26,SOWTasks[[ID]:[Task / Scope Description]],3,FALSE),""))</f>
        <v/>
      </c>
      <c r="E26" s="7"/>
      <c r="F26" s="8"/>
      <c r="G26" s="13"/>
    </row>
    <row r="27" spans="1:7">
      <c r="A27" s="12"/>
      <c r="B27" s="13"/>
      <c r="C27" s="13"/>
      <c r="D27" s="8" t="str">
        <f>IF(C27="","",IFERROR(VLOOKUP(C27,SOWTasks[[ID]:[Task / Scope Description]],3,FALSE),""))</f>
        <v/>
      </c>
      <c r="E27" s="7"/>
      <c r="F27" s="8"/>
      <c r="G27" s="13"/>
    </row>
    <row r="28" spans="1:7">
      <c r="A28" s="12"/>
      <c r="B28" s="13"/>
      <c r="C28" s="13"/>
      <c r="D28" s="8" t="str">
        <f>IF(C28="","",IFERROR(VLOOKUP(C28,SOWTasks[[ID]:[Task / Scope Description]],3,FALSE),""))</f>
        <v/>
      </c>
      <c r="E28" s="7"/>
      <c r="F28" s="8"/>
      <c r="G28" s="13"/>
    </row>
    <row r="29" spans="1:7">
      <c r="A29" s="12"/>
      <c r="B29" s="13"/>
      <c r="C29" s="13"/>
      <c r="D29" s="8" t="str">
        <f>IF(C29="","",IFERROR(VLOOKUP(C29,SOWTasks[[ID]:[Task / Scope Description]],3,FALSE),""))</f>
        <v/>
      </c>
      <c r="E29" s="7"/>
      <c r="F29" s="8"/>
      <c r="G29" s="13"/>
    </row>
    <row r="30" spans="1:7">
      <c r="A30" s="12"/>
      <c r="B30" s="13"/>
      <c r="C30" s="13"/>
      <c r="D30" s="8" t="str">
        <f>IF(C30="","",IFERROR(VLOOKUP(C30,SOWTasks[[ID]:[Task / Scope Description]],3,FALSE),""))</f>
        <v/>
      </c>
      <c r="E30" s="7"/>
      <c r="F30" s="8"/>
      <c r="G30" s="13"/>
    </row>
    <row r="31" spans="1:7">
      <c r="A31" s="12"/>
      <c r="B31" s="13"/>
      <c r="C31" s="13"/>
      <c r="D31" s="8" t="str">
        <f>IF(C31="","",IFERROR(VLOOKUP(C31,SOWTasks[[ID]:[Task / Scope Description]],3,FALSE),""))</f>
        <v/>
      </c>
      <c r="E31" s="7"/>
      <c r="F31" s="8"/>
      <c r="G31" s="13"/>
    </row>
    <row r="32" spans="1:7">
      <c r="A32" s="12"/>
      <c r="B32" s="13"/>
      <c r="C32" s="13"/>
      <c r="D32" s="8" t="str">
        <f>IF(C32="","",IFERROR(VLOOKUP(C32,SOWTasks[[ID]:[Task / Scope Description]],3,FALSE),""))</f>
        <v/>
      </c>
      <c r="E32" s="7"/>
      <c r="F32" s="8"/>
      <c r="G32" s="13"/>
    </row>
    <row r="33" spans="1:7">
      <c r="A33" s="12"/>
      <c r="B33" s="13"/>
      <c r="C33" s="13"/>
      <c r="D33" s="8" t="str">
        <f>IF(C33="","",IFERROR(VLOOKUP(C33,SOWTasks[[ID]:[Task / Scope Description]],3,FALSE),""))</f>
        <v/>
      </c>
      <c r="E33" s="7"/>
      <c r="F33" s="8"/>
      <c r="G33" s="13"/>
    </row>
    <row r="34" spans="1:7">
      <c r="A34" s="12"/>
      <c r="B34" s="13"/>
      <c r="C34" s="13"/>
      <c r="D34" s="8" t="str">
        <f>IF(C34="","",IFERROR(VLOOKUP(C34,SOWTasks[[ID]:[Task / Scope Description]],3,FALSE),""))</f>
        <v/>
      </c>
      <c r="E34" s="7"/>
      <c r="F34" s="8"/>
      <c r="G34" s="13"/>
    </row>
    <row r="35" spans="1:7">
      <c r="A35" s="12"/>
      <c r="B35" s="13"/>
      <c r="C35" s="13"/>
      <c r="D35" s="8" t="str">
        <f>IF(C35="","",IFERROR(VLOOKUP(C35,SOWTasks[[ID]:[Task / Scope Description]],3,FALSE),""))</f>
        <v/>
      </c>
      <c r="E35" s="7"/>
      <c r="F35" s="8"/>
      <c r="G35" s="13"/>
    </row>
    <row r="36" spans="1:7">
      <c r="A36" s="12"/>
      <c r="B36" s="13"/>
      <c r="C36" s="13"/>
      <c r="D36" s="8" t="str">
        <f>IF(C36="","",IFERROR(VLOOKUP(C36,SOWTasks[[ID]:[Task / Scope Description]],3,FALSE),""))</f>
        <v/>
      </c>
      <c r="E36" s="7"/>
      <c r="F36" s="8"/>
      <c r="G36" s="13"/>
    </row>
    <row r="37" spans="1:7">
      <c r="A37" s="12"/>
      <c r="B37" s="13"/>
      <c r="C37" s="13"/>
      <c r="D37" s="8" t="str">
        <f>IF(C37="","",IFERROR(VLOOKUP(C37,SOWTasks[[ID]:[Task / Scope Description]],3,FALSE),""))</f>
        <v/>
      </c>
      <c r="E37" s="7"/>
      <c r="F37" s="8"/>
      <c r="G37" s="13"/>
    </row>
    <row r="38" spans="1:7">
      <c r="A38" s="12"/>
      <c r="B38" s="13"/>
      <c r="C38" s="13"/>
      <c r="D38" s="8" t="str">
        <f>IF(C38="","",IFERROR(VLOOKUP(C38,SOWTasks[[ID]:[Task / Scope Description]],3,FALSE),""))</f>
        <v/>
      </c>
      <c r="E38" s="7"/>
      <c r="F38" s="8"/>
      <c r="G38" s="13"/>
    </row>
    <row r="39" spans="1:7">
      <c r="A39" s="12"/>
      <c r="B39" s="13"/>
      <c r="C39" s="13"/>
      <c r="D39" s="8" t="str">
        <f>IF(C39="","",IFERROR(VLOOKUP(C39,SOWTasks[[ID]:[Task / Scope Description]],3,FALSE),""))</f>
        <v/>
      </c>
      <c r="E39" s="7"/>
      <c r="F39" s="8"/>
      <c r="G39" s="13"/>
    </row>
    <row r="40" spans="1:7">
      <c r="A40" s="12"/>
      <c r="B40" s="13"/>
      <c r="C40" s="13"/>
      <c r="D40" s="8" t="str">
        <f>IF(C40="","",IFERROR(VLOOKUP(C40,SOWTasks[[ID]:[Task / Scope Description]],3,FALSE),""))</f>
        <v/>
      </c>
      <c r="E40" s="7"/>
      <c r="F40" s="8"/>
      <c r="G40" s="13"/>
    </row>
    <row r="41" spans="1:7">
      <c r="A41" s="12"/>
      <c r="B41" s="13"/>
      <c r="C41" s="13"/>
      <c r="D41" s="8" t="str">
        <f>IF(C41="","",IFERROR(VLOOKUP(C41,SOWTasks[[ID]:[Task / Scope Description]],3,FALSE),""))</f>
        <v/>
      </c>
      <c r="E41" s="7"/>
      <c r="F41" s="8"/>
      <c r="G41" s="13"/>
    </row>
    <row r="42" spans="1:7">
      <c r="A42" s="12"/>
      <c r="B42" s="13"/>
      <c r="C42" s="13"/>
      <c r="D42" s="8" t="str">
        <f>IF(C42="","",IFERROR(VLOOKUP(C42,SOWTasks[[ID]:[Task / Scope Description]],3,FALSE),""))</f>
        <v/>
      </c>
      <c r="E42" s="7"/>
      <c r="F42" s="8"/>
      <c r="G42" s="13"/>
    </row>
    <row r="43" spans="1:7">
      <c r="A43" s="12"/>
      <c r="B43" s="13"/>
      <c r="C43" s="13"/>
      <c r="D43" s="8" t="str">
        <f>IF(C43="","",IFERROR(VLOOKUP(C43,SOWTasks[[ID]:[Task / Scope Description]],3,FALSE),""))</f>
        <v/>
      </c>
      <c r="E43" s="7"/>
      <c r="F43" s="8"/>
      <c r="G43" s="13"/>
    </row>
    <row r="44" spans="1:7">
      <c r="A44" s="12"/>
      <c r="B44" s="13"/>
      <c r="C44" s="13"/>
      <c r="D44" s="8" t="str">
        <f>IF(C44="","",IFERROR(VLOOKUP(C44,SOWTasks[[ID]:[Task / Scope Description]],3,FALSE),""))</f>
        <v/>
      </c>
      <c r="E44" s="7"/>
      <c r="F44" s="8"/>
      <c r="G44" s="13"/>
    </row>
    <row r="45" spans="1:7">
      <c r="A45" s="12"/>
      <c r="B45" s="13"/>
      <c r="C45" s="13"/>
      <c r="D45" s="8" t="str">
        <f>IF(C45="","",IFERROR(VLOOKUP(C45,SOWTasks[[ID]:[Task / Scope Description]],3,FALSE),""))</f>
        <v/>
      </c>
      <c r="E45" s="7"/>
      <c r="F45" s="8"/>
      <c r="G45" s="13"/>
    </row>
    <row r="46" spans="1:7">
      <c r="A46" s="12"/>
      <c r="B46" s="13"/>
      <c r="C46" s="13"/>
      <c r="D46" s="8" t="str">
        <f>IF(C46="","",IFERROR(VLOOKUP(C46,SOWTasks[[ID]:[Task / Scope Description]],3,FALSE),""))</f>
        <v/>
      </c>
      <c r="E46" s="7"/>
      <c r="F46" s="8"/>
      <c r="G46" s="13"/>
    </row>
    <row r="47" spans="1:7">
      <c r="A47" s="12"/>
      <c r="B47" s="13"/>
      <c r="C47" s="13"/>
      <c r="D47" s="8" t="str">
        <f>IF(C47="","",IFERROR(VLOOKUP(C47,SOWTasks[[ID]:[Task / Scope Description]],3,FALSE),""))</f>
        <v/>
      </c>
      <c r="E47" s="7"/>
      <c r="F47" s="8"/>
      <c r="G47" s="13"/>
    </row>
    <row r="48" spans="1:7">
      <c r="A48" s="12"/>
      <c r="B48" s="13"/>
      <c r="C48" s="13"/>
      <c r="D48" s="8" t="str">
        <f>IF(C48="","",IFERROR(VLOOKUP(C48,SOWTasks[[ID]:[Task / Scope Description]],3,FALSE),""))</f>
        <v/>
      </c>
      <c r="E48" s="7"/>
      <c r="F48" s="8"/>
      <c r="G48" s="13"/>
    </row>
    <row r="49" spans="1:7">
      <c r="A49" s="12"/>
      <c r="B49" s="13"/>
      <c r="C49" s="13"/>
      <c r="D49" s="8" t="str">
        <f>IF(C49="","",IFERROR(VLOOKUP(C49,SOWTasks[[ID]:[Task / Scope Description]],3,FALSE),""))</f>
        <v/>
      </c>
      <c r="E49" s="7"/>
      <c r="F49" s="8"/>
      <c r="G49" s="13"/>
    </row>
    <row r="50" spans="1:7">
      <c r="A50" s="12"/>
      <c r="B50" s="13"/>
      <c r="C50" s="13"/>
      <c r="D50" s="8" t="str">
        <f>IF(C50="","",IFERROR(VLOOKUP(C50,SOWTasks[[ID]:[Task / Scope Description]],3,FALSE),""))</f>
        <v/>
      </c>
      <c r="E50" s="7"/>
      <c r="F50" s="8"/>
      <c r="G50" s="13"/>
    </row>
    <row r="51" spans="1:7">
      <c r="A51" s="12"/>
      <c r="B51" s="13"/>
      <c r="C51" s="13"/>
      <c r="D51" s="8" t="str">
        <f>IF(C51="","",IFERROR(VLOOKUP(C51,SOWTasks[[ID]:[Task / Scope Description]],3,FALSE),""))</f>
        <v/>
      </c>
      <c r="E51" s="7"/>
      <c r="F51" s="8"/>
      <c r="G51" s="13"/>
    </row>
    <row r="52" spans="1:7">
      <c r="A52" s="12"/>
      <c r="B52" s="13"/>
      <c r="C52" s="13"/>
      <c r="D52" s="8" t="str">
        <f>IF(C52="","",IFERROR(VLOOKUP(C52,SOWTasks[[ID]:[Task / Scope Description]],3,FALSE),""))</f>
        <v/>
      </c>
      <c r="E52" s="7"/>
      <c r="F52" s="8"/>
      <c r="G52" s="13"/>
    </row>
    <row r="53" spans="1:7">
      <c r="A53" s="12"/>
      <c r="B53" s="13"/>
      <c r="C53" s="13"/>
      <c r="D53" s="8" t="str">
        <f>IF(C53="","",IFERROR(VLOOKUP(C53,SOWTasks[[ID]:[Task / Scope Description]],3,FALSE),""))</f>
        <v/>
      </c>
      <c r="E53" s="7"/>
      <c r="F53" s="8"/>
      <c r="G53" s="13"/>
    </row>
    <row r="54" spans="1:7">
      <c r="A54" s="12"/>
      <c r="B54" s="13"/>
      <c r="C54" s="13"/>
      <c r="D54" s="8" t="str">
        <f>IF(C54="","",IFERROR(VLOOKUP(C54,SOWTasks[[ID]:[Task / Scope Description]],3,FALSE),""))</f>
        <v/>
      </c>
      <c r="E54" s="7"/>
      <c r="F54" s="8"/>
      <c r="G54" s="13"/>
    </row>
    <row r="55" spans="1:7">
      <c r="A55" s="12"/>
      <c r="B55" s="13"/>
      <c r="C55" s="13"/>
      <c r="D55" s="8" t="str">
        <f>IF(C55="","",IFERROR(VLOOKUP(C55,SOWTasks[[ID]:[Task / Scope Description]],3,FALSE),""))</f>
        <v/>
      </c>
      <c r="E55" s="7"/>
      <c r="F55" s="8"/>
      <c r="G55" s="13"/>
    </row>
    <row r="56" spans="1:7">
      <c r="A56" s="12"/>
      <c r="B56" s="13"/>
      <c r="C56" s="13"/>
      <c r="D56" s="8" t="str">
        <f>IF(C56="","",IFERROR(VLOOKUP(C56,SOWTasks[[ID]:[Task / Scope Description]],3,FALSE),""))</f>
        <v/>
      </c>
      <c r="E56" s="7"/>
      <c r="F56" s="8"/>
      <c r="G56" s="13"/>
    </row>
    <row r="57" spans="1:7">
      <c r="A57" s="12"/>
      <c r="B57" s="13"/>
      <c r="C57" s="13"/>
      <c r="D57" s="8" t="str">
        <f>IF(C57="","",IFERROR(VLOOKUP(C57,SOWTasks[[ID]:[Task / Scope Description]],3,FALSE),""))</f>
        <v/>
      </c>
      <c r="E57" s="7"/>
      <c r="F57" s="8"/>
      <c r="G57" s="13"/>
    </row>
    <row r="58" spans="1:7">
      <c r="A58" s="12"/>
      <c r="B58" s="13"/>
      <c r="C58" s="13"/>
      <c r="D58" s="8" t="str">
        <f>IF(C58="","",IFERROR(VLOOKUP(C58,SOWTasks[[ID]:[Task / Scope Description]],3,FALSE),""))</f>
        <v/>
      </c>
      <c r="E58" s="7"/>
      <c r="F58" s="8"/>
      <c r="G58" s="13"/>
    </row>
    <row r="59" spans="1:7">
      <c r="A59" s="12"/>
      <c r="B59" s="13"/>
      <c r="C59" s="13"/>
      <c r="D59" s="8" t="str">
        <f>IF(C59="","",IFERROR(VLOOKUP(C59,SOWTasks[[ID]:[Task / Scope Description]],3,FALSE),""))</f>
        <v/>
      </c>
      <c r="E59" s="7"/>
      <c r="F59" s="8"/>
      <c r="G59" s="13"/>
    </row>
    <row r="60" spans="1:7">
      <c r="A60" s="12"/>
      <c r="B60" s="13"/>
      <c r="C60" s="13"/>
      <c r="D60" s="8" t="str">
        <f>IF(C60="","",IFERROR(VLOOKUP(C60,SOWTasks[[ID]:[Task / Scope Description]],3,FALSE),""))</f>
        <v/>
      </c>
      <c r="E60" s="7"/>
      <c r="F60" s="8"/>
      <c r="G60" s="13"/>
    </row>
    <row r="61" spans="1:7">
      <c r="A61" s="12"/>
      <c r="B61" s="13"/>
      <c r="C61" s="13"/>
      <c r="D61" s="8" t="str">
        <f>IF(C61="","",IFERROR(VLOOKUP(C61,SOWTasks[[ID]:[Task / Scope Description]],3,FALSE),""))</f>
        <v/>
      </c>
      <c r="E61" s="7"/>
      <c r="F61" s="8"/>
      <c r="G61" s="13"/>
    </row>
    <row r="62" spans="1:7">
      <c r="A62" s="12"/>
      <c r="B62" s="13"/>
      <c r="C62" s="13"/>
      <c r="D62" s="8" t="str">
        <f>IF(C62="","",IFERROR(VLOOKUP(C62,SOWTasks[[ID]:[Task / Scope Description]],3,FALSE),""))</f>
        <v/>
      </c>
      <c r="E62" s="7"/>
      <c r="F62" s="8"/>
      <c r="G62" s="13"/>
    </row>
    <row r="63" spans="1:7">
      <c r="A63" s="12"/>
      <c r="B63" s="13"/>
      <c r="C63" s="13"/>
      <c r="D63" s="8" t="str">
        <f>IF(C63="","",IFERROR(VLOOKUP(C63,SOWTasks[[ID]:[Task / Scope Description]],3,FALSE),""))</f>
        <v/>
      </c>
      <c r="E63" s="7"/>
      <c r="F63" s="8"/>
      <c r="G63" s="13"/>
    </row>
    <row r="64" spans="1:7">
      <c r="A64" s="12"/>
      <c r="B64" s="13"/>
      <c r="C64" s="13"/>
      <c r="D64" s="8" t="str">
        <f>IF(C64="","",IFERROR(VLOOKUP(C64,SOWTasks[[ID]:[Task / Scope Description]],3,FALSE),""))</f>
        <v/>
      </c>
      <c r="E64" s="7"/>
      <c r="F64" s="8"/>
      <c r="G64" s="13"/>
    </row>
    <row r="65" spans="1:7">
      <c r="A65" s="12"/>
      <c r="B65" s="13"/>
      <c r="C65" s="13"/>
      <c r="D65" s="8" t="str">
        <f>IF(C65="","",IFERROR(VLOOKUP(C65,SOWTasks[[ID]:[Task / Scope Description]],3,FALSE),""))</f>
        <v/>
      </c>
      <c r="E65" s="7"/>
      <c r="F65" s="8"/>
      <c r="G65" s="13"/>
    </row>
    <row r="66" spans="1:7">
      <c r="A66" s="12"/>
      <c r="B66" s="13"/>
      <c r="C66" s="13"/>
      <c r="D66" s="8" t="str">
        <f>IF(C66="","",IFERROR(VLOOKUP(C66,SOWTasks[[ID]:[Task / Scope Description]],3,FALSE),""))</f>
        <v/>
      </c>
      <c r="E66" s="7"/>
      <c r="F66" s="8"/>
      <c r="G66" s="13"/>
    </row>
    <row r="67" spans="1:7">
      <c r="A67" s="12"/>
      <c r="B67" s="13"/>
      <c r="C67" s="13"/>
      <c r="D67" s="8" t="str">
        <f>IF(C67="","",IFERROR(VLOOKUP(C67,SOWTasks[[ID]:[Task / Scope Description]],3,FALSE),""))</f>
        <v/>
      </c>
      <c r="E67" s="7"/>
      <c r="F67" s="8"/>
      <c r="G67" s="13"/>
    </row>
    <row r="68" spans="1:7">
      <c r="A68" s="12"/>
      <c r="B68" s="13"/>
      <c r="C68" s="13"/>
      <c r="D68" s="8" t="str">
        <f>IF(C68="","",IFERROR(VLOOKUP(C68,SOWTasks[[ID]:[Task / Scope Description]],3,FALSE),""))</f>
        <v/>
      </c>
      <c r="E68" s="7"/>
      <c r="F68" s="8"/>
      <c r="G68" s="13"/>
    </row>
    <row r="69" spans="1:7">
      <c r="A69" s="12"/>
      <c r="B69" s="13"/>
      <c r="C69" s="13"/>
      <c r="D69" s="8" t="str">
        <f>IF(C69="","",IFERROR(VLOOKUP(C69,SOWTasks[[ID]:[Task / Scope Description]],3,FALSE),""))</f>
        <v/>
      </c>
      <c r="E69" s="7"/>
      <c r="F69" s="8"/>
      <c r="G69" s="13"/>
    </row>
    <row r="70" spans="1:7">
      <c r="A70" s="12"/>
      <c r="B70" s="13"/>
      <c r="C70" s="13"/>
      <c r="D70" s="8" t="str">
        <f>IF(C70="","",IFERROR(VLOOKUP(C70,SOWTasks[[ID]:[Task / Scope Description]],3,FALSE),""))</f>
        <v/>
      </c>
      <c r="E70" s="7"/>
      <c r="F70" s="8"/>
      <c r="G70" s="13"/>
    </row>
    <row r="71" spans="1:7">
      <c r="A71" s="12"/>
      <c r="B71" s="13"/>
      <c r="C71" s="13"/>
      <c r="D71" s="8" t="str">
        <f>IF(C71="","",IFERROR(VLOOKUP(C71,SOWTasks[[ID]:[Task / Scope Description]],3,FALSE),""))</f>
        <v/>
      </c>
      <c r="E71" s="7"/>
      <c r="F71" s="8"/>
      <c r="G71" s="13"/>
    </row>
    <row r="72" spans="1:7">
      <c r="A72" s="12"/>
      <c r="B72" s="13"/>
      <c r="C72" s="13"/>
      <c r="D72" s="8" t="str">
        <f>IF(C72="","",IFERROR(VLOOKUP(C72,SOWTasks[[ID]:[Task / Scope Description]],3,FALSE),""))</f>
        <v/>
      </c>
      <c r="E72" s="7"/>
      <c r="F72" s="8"/>
      <c r="G72" s="13"/>
    </row>
    <row r="73" spans="1:7">
      <c r="A73" s="12"/>
      <c r="B73" s="13"/>
      <c r="C73" s="13"/>
      <c r="D73" s="8" t="str">
        <f>IF(C73="","",IFERROR(VLOOKUP(C73,SOWTasks[[ID]:[Task / Scope Description]],3,FALSE),""))</f>
        <v/>
      </c>
      <c r="E73" s="7"/>
      <c r="F73" s="8"/>
      <c r="G73" s="13"/>
    </row>
    <row r="74" spans="1:7">
      <c r="A74" s="12"/>
      <c r="B74" s="13"/>
      <c r="C74" s="13"/>
      <c r="D74" s="8" t="str">
        <f>IF(C74="","",IFERROR(VLOOKUP(C74,SOWTasks[[ID]:[Task / Scope Description]],3,FALSE),""))</f>
        <v/>
      </c>
      <c r="E74" s="7"/>
      <c r="F74" s="8"/>
      <c r="G74" s="13"/>
    </row>
    <row r="75" spans="1:7">
      <c r="A75" s="12"/>
      <c r="B75" s="13"/>
      <c r="C75" s="13"/>
      <c r="D75" s="8" t="str">
        <f>IF(C75="","",IFERROR(VLOOKUP(C75,SOWTasks[[ID]:[Task / Scope Description]],3,FALSE),""))</f>
        <v/>
      </c>
      <c r="E75" s="7"/>
      <c r="F75" s="8"/>
      <c r="G75" s="13"/>
    </row>
    <row r="76" spans="1:7">
      <c r="A76" s="12"/>
      <c r="B76" s="13"/>
      <c r="C76" s="13"/>
      <c r="D76" s="8" t="str">
        <f>IF(C76="","",IFERROR(VLOOKUP(C76,SOWTasks[[ID]:[Task / Scope Description]],3,FALSE),""))</f>
        <v/>
      </c>
      <c r="E76" s="7"/>
      <c r="F76" s="8"/>
      <c r="G76" s="13"/>
    </row>
    <row r="77" spans="1:7">
      <c r="A77" s="12"/>
      <c r="B77" s="13"/>
      <c r="C77" s="13"/>
      <c r="D77" s="8" t="str">
        <f>IF(C77="","",IFERROR(VLOOKUP(C77,SOWTasks[[ID]:[Task / Scope Description]],3,FALSE),""))</f>
        <v/>
      </c>
      <c r="E77" s="7"/>
      <c r="F77" s="8"/>
      <c r="G77" s="13"/>
    </row>
    <row r="78" spans="1:7">
      <c r="A78" s="12"/>
      <c r="B78" s="13"/>
      <c r="C78" s="13"/>
      <c r="D78" s="8" t="str">
        <f>IF(C78="","",IFERROR(VLOOKUP(C78,SOWTasks[[ID]:[Task / Scope Description]],3,FALSE),""))</f>
        <v/>
      </c>
      <c r="E78" s="7"/>
      <c r="F78" s="8"/>
      <c r="G78" s="13"/>
    </row>
    <row r="79" spans="1:7">
      <c r="A79" s="12"/>
      <c r="B79" s="13"/>
      <c r="C79" s="13"/>
      <c r="D79" s="8" t="str">
        <f>IF(C79="","",IFERROR(VLOOKUP(C79,SOWTasks[[ID]:[Task / Scope Description]],3,FALSE),""))</f>
        <v/>
      </c>
      <c r="E79" s="7"/>
      <c r="F79" s="8"/>
      <c r="G79" s="13"/>
    </row>
    <row r="80" spans="1:7">
      <c r="A80" s="12"/>
      <c r="B80" s="13"/>
      <c r="C80" s="13"/>
      <c r="D80" s="8" t="str">
        <f>IF(C80="","",IFERROR(VLOOKUP(C80,SOWTasks[[ID]:[Task / Scope Description]],3,FALSE),""))</f>
        <v/>
      </c>
      <c r="E80" s="7"/>
      <c r="F80" s="8"/>
      <c r="G80" s="13"/>
    </row>
    <row r="81" spans="1:7">
      <c r="A81" s="12"/>
      <c r="B81" s="13"/>
      <c r="C81" s="13"/>
      <c r="D81" s="8" t="str">
        <f>IF(C81="","",IFERROR(VLOOKUP(C81,SOWTasks[[ID]:[Task / Scope Description]],3,FALSE),""))</f>
        <v/>
      </c>
      <c r="E81" s="7"/>
      <c r="F81" s="8"/>
      <c r="G81" s="13"/>
    </row>
    <row r="82" spans="1:7">
      <c r="A82" s="12"/>
      <c r="B82" s="13"/>
      <c r="C82" s="13"/>
      <c r="D82" s="8" t="str">
        <f>IF(C82="","",IFERROR(VLOOKUP(C82,SOWTasks[[ID]:[Task / Scope Description]],3,FALSE),""))</f>
        <v/>
      </c>
      <c r="E82" s="7"/>
      <c r="F82" s="8"/>
      <c r="G82" s="13"/>
    </row>
    <row r="83" spans="1:7">
      <c r="A83" s="12"/>
      <c r="B83" s="13"/>
      <c r="C83" s="13"/>
      <c r="D83" s="8" t="str">
        <f>IF(C83="","",IFERROR(VLOOKUP(C83,SOWTasks[[ID]:[Task / Scope Description]],3,FALSE),""))</f>
        <v/>
      </c>
      <c r="E83" s="7"/>
      <c r="F83" s="8"/>
      <c r="G83" s="13"/>
    </row>
    <row r="84" spans="1:7">
      <c r="A84" s="12"/>
      <c r="B84" s="13"/>
      <c r="C84" s="13"/>
      <c r="D84" s="8" t="str">
        <f>IF(C84="","",IFERROR(VLOOKUP(C84,SOWTasks[[ID]:[Task / Scope Description]],3,FALSE),""))</f>
        <v/>
      </c>
      <c r="E84" s="7"/>
      <c r="F84" s="8"/>
      <c r="G84" s="13"/>
    </row>
    <row r="85" spans="1:7">
      <c r="A85" s="12"/>
      <c r="B85" s="13"/>
      <c r="C85" s="13"/>
      <c r="D85" s="8" t="str">
        <f>IF(C85="","",IFERROR(VLOOKUP(C85,SOWTasks[[ID]:[Task / Scope Description]],3,FALSE),""))</f>
        <v/>
      </c>
      <c r="E85" s="7"/>
      <c r="F85" s="8"/>
      <c r="G85" s="13"/>
    </row>
    <row r="86" spans="1:7">
      <c r="A86" s="12"/>
      <c r="B86" s="13"/>
      <c r="C86" s="13"/>
      <c r="D86" s="8" t="str">
        <f>IF(C86="","",IFERROR(VLOOKUP(C86,SOWTasks[[ID]:[Task / Scope Description]],3,FALSE),""))</f>
        <v/>
      </c>
      <c r="E86" s="7"/>
      <c r="F86" s="8"/>
      <c r="G86" s="13"/>
    </row>
    <row r="87" spans="1:7">
      <c r="A87" s="12"/>
      <c r="B87" s="13"/>
      <c r="C87" s="13"/>
      <c r="D87" s="8" t="str">
        <f>IF(C87="","",IFERROR(VLOOKUP(C87,SOWTasks[[ID]:[Task / Scope Description]],3,FALSE),""))</f>
        <v/>
      </c>
      <c r="E87" s="7"/>
      <c r="F87" s="8"/>
      <c r="G87" s="13"/>
    </row>
    <row r="88" spans="1:7">
      <c r="A88" s="12"/>
      <c r="B88" s="13"/>
      <c r="C88" s="13"/>
      <c r="D88" s="8" t="str">
        <f>IF(C88="","",IFERROR(VLOOKUP(C88,SOWTasks[[ID]:[Task / Scope Description]],3,FALSE),""))</f>
        <v/>
      </c>
      <c r="E88" s="7"/>
      <c r="F88" s="8"/>
      <c r="G88" s="13"/>
    </row>
    <row r="89" spans="1:7">
      <c r="A89" s="12"/>
      <c r="B89" s="13"/>
      <c r="C89" s="13"/>
      <c r="D89" s="8" t="str">
        <f>IF(C89="","",IFERROR(VLOOKUP(C89,SOWTasks[[ID]:[Task / Scope Description]],3,FALSE),""))</f>
        <v/>
      </c>
      <c r="E89" s="7"/>
      <c r="F89" s="8"/>
      <c r="G89" s="13"/>
    </row>
    <row r="90" spans="1:7">
      <c r="A90" s="12"/>
      <c r="B90" s="13"/>
      <c r="C90" s="13"/>
      <c r="D90" s="8" t="str">
        <f>IF(C90="","",IFERROR(VLOOKUP(C90,SOWTasks[[ID]:[Task / Scope Description]],3,FALSE),""))</f>
        <v/>
      </c>
      <c r="E90" s="7"/>
      <c r="F90" s="8"/>
      <c r="G90" s="13"/>
    </row>
    <row r="91" spans="1:7">
      <c r="A91" s="12"/>
      <c r="B91" s="13"/>
      <c r="C91" s="13"/>
      <c r="D91" s="8" t="str">
        <f>IF(C91="","",IFERROR(VLOOKUP(C91,SOWTasks[[ID]:[Task / Scope Description]],3,FALSE),""))</f>
        <v/>
      </c>
      <c r="E91" s="7"/>
      <c r="F91" s="8"/>
      <c r="G91" s="13"/>
    </row>
    <row r="92" spans="1:7">
      <c r="A92" s="12"/>
      <c r="B92" s="13"/>
      <c r="C92" s="13"/>
      <c r="D92" s="8" t="str">
        <f>IF(C92="","",IFERROR(VLOOKUP(C92,SOWTasks[[ID]:[Task / Scope Description]],3,FALSE),""))</f>
        <v/>
      </c>
      <c r="E92" s="7"/>
      <c r="F92" s="8"/>
      <c r="G92" s="13"/>
    </row>
    <row r="93" spans="1:7">
      <c r="A93" s="12"/>
      <c r="B93" s="13"/>
      <c r="C93" s="13"/>
      <c r="D93" s="8" t="str">
        <f>IF(C93="","",IFERROR(VLOOKUP(C93,SOWTasks[[ID]:[Task / Scope Description]],3,FALSE),""))</f>
        <v/>
      </c>
      <c r="E93" s="7"/>
      <c r="F93" s="8"/>
      <c r="G93" s="13"/>
    </row>
    <row r="94" spans="1:7">
      <c r="A94" s="12"/>
      <c r="B94" s="13"/>
      <c r="C94" s="13"/>
      <c r="D94" s="8" t="str">
        <f>IF(C94="","",IFERROR(VLOOKUP(C94,SOWTasks[[ID]:[Task / Scope Description]],3,FALSE),""))</f>
        <v/>
      </c>
      <c r="E94" s="7"/>
      <c r="F94" s="8"/>
      <c r="G94" s="13"/>
    </row>
    <row r="95" spans="1:7">
      <c r="A95" s="12"/>
      <c r="B95" s="13"/>
      <c r="C95" s="13"/>
      <c r="D95" s="8" t="str">
        <f>IF(C95="","",IFERROR(VLOOKUP(C95,SOWTasks[[ID]:[Task / Scope Description]],3,FALSE),""))</f>
        <v/>
      </c>
      <c r="E95" s="7"/>
      <c r="F95" s="8"/>
      <c r="G95" s="13"/>
    </row>
    <row r="96" spans="1:7">
      <c r="A96" s="12"/>
      <c r="B96" s="13"/>
      <c r="C96" s="13"/>
      <c r="D96" s="8" t="str">
        <f>IF(C96="","",IFERROR(VLOOKUP(C96,SOWTasks[[ID]:[Task / Scope Description]],3,FALSE),""))</f>
        <v/>
      </c>
      <c r="E96" s="7"/>
      <c r="F96" s="8"/>
      <c r="G96" s="13"/>
    </row>
    <row r="97" spans="1:7">
      <c r="A97" s="12"/>
      <c r="B97" s="13"/>
      <c r="C97" s="13"/>
      <c r="D97" s="8" t="str">
        <f>IF(C97="","",IFERROR(VLOOKUP(C97,SOWTasks[[ID]:[Task / Scope Description]],3,FALSE),""))</f>
        <v/>
      </c>
      <c r="E97" s="7"/>
      <c r="F97" s="8"/>
      <c r="G97" s="13"/>
    </row>
    <row r="98" spans="1:7">
      <c r="A98" s="12"/>
      <c r="B98" s="13"/>
      <c r="C98" s="13"/>
      <c r="D98" s="8" t="str">
        <f>IF(C98="","",IFERROR(VLOOKUP(C98,SOWTasks[[ID]:[Task / Scope Description]],3,FALSE),""))</f>
        <v/>
      </c>
      <c r="E98" s="7"/>
      <c r="F98" s="8"/>
      <c r="G98" s="13"/>
    </row>
    <row r="99" spans="1:7">
      <c r="A99" s="12"/>
      <c r="B99" s="13"/>
      <c r="C99" s="13"/>
      <c r="D99" s="8" t="str">
        <f>IF(C99="","",IFERROR(VLOOKUP(C99,SOWTasks[[ID]:[Task / Scope Description]],3,FALSE),""))</f>
        <v/>
      </c>
      <c r="E99" s="7"/>
      <c r="F99" s="8"/>
      <c r="G99" s="13"/>
    </row>
    <row r="100" spans="1:7">
      <c r="A100" s="12"/>
      <c r="B100" s="13"/>
      <c r="C100" s="13"/>
      <c r="D100" s="8" t="str">
        <f>IF(C100="","",IFERROR(VLOOKUP(C100,SOWTasks[[ID]:[Task / Scope Description]],3,FALSE),""))</f>
        <v/>
      </c>
      <c r="E100" s="7"/>
      <c r="F100" s="8"/>
      <c r="G100" s="13"/>
    </row>
    <row r="101" spans="1:7">
      <c r="A101" s="12"/>
      <c r="B101" s="13"/>
      <c r="C101" s="13"/>
      <c r="D101" s="8" t="str">
        <f>IF(C101="","",IFERROR(VLOOKUP(C101,SOWTasks[[ID]:[Task / Scope Description]],3,FALSE),""))</f>
        <v/>
      </c>
      <c r="E101" s="7"/>
      <c r="F101" s="8"/>
      <c r="G101" s="13"/>
    </row>
    <row r="102" spans="1:7">
      <c r="A102" s="12"/>
      <c r="B102" s="13"/>
      <c r="C102" s="13"/>
      <c r="D102" s="8" t="str">
        <f>IF(C102="","",IFERROR(VLOOKUP(C102,SOWTasks[[ID]:[Task / Scope Description]],3,FALSE),""))</f>
        <v/>
      </c>
      <c r="E102" s="7"/>
      <c r="F102" s="8"/>
      <c r="G102" s="13"/>
    </row>
    <row r="103" spans="1:7">
      <c r="A103" s="12"/>
      <c r="B103" s="13"/>
      <c r="C103" s="13"/>
      <c r="D103" s="8" t="str">
        <f>IF(C103="","",IFERROR(VLOOKUP(C103,SOWTasks[[ID]:[Task / Scope Description]],3,FALSE),""))</f>
        <v/>
      </c>
      <c r="E103" s="7"/>
      <c r="F103" s="8"/>
      <c r="G103" s="13"/>
    </row>
    <row r="104" spans="1:7">
      <c r="A104" s="12"/>
      <c r="B104" s="13"/>
      <c r="C104" s="13"/>
      <c r="D104" s="8" t="str">
        <f>IF(C104="","",IFERROR(VLOOKUP(C104,SOWTasks[[ID]:[Task / Scope Description]],3,FALSE),""))</f>
        <v/>
      </c>
      <c r="E104" s="7"/>
      <c r="F104" s="8"/>
      <c r="G104" s="13"/>
    </row>
    <row r="105" spans="1:7">
      <c r="A105" s="12"/>
      <c r="B105" s="13"/>
      <c r="C105" s="13"/>
      <c r="D105" s="8" t="str">
        <f>IF(C105="","",IFERROR(VLOOKUP(C105,SOWTasks[[ID]:[Task / Scope Description]],3,FALSE),""))</f>
        <v/>
      </c>
      <c r="E105" s="7"/>
      <c r="F105" s="8"/>
      <c r="G105" s="13"/>
    </row>
    <row r="106" spans="1:7">
      <c r="A106" s="12"/>
      <c r="B106" s="13"/>
      <c r="C106" s="13"/>
      <c r="D106" s="8" t="str">
        <f>IF(C106="","",IFERROR(VLOOKUP(C106,SOWTasks[[ID]:[Task / Scope Description]],3,FALSE),""))</f>
        <v/>
      </c>
      <c r="E106" s="7"/>
      <c r="F106" s="8"/>
      <c r="G106" s="13"/>
    </row>
    <row r="107" spans="1:7">
      <c r="A107" s="12"/>
      <c r="B107" s="13"/>
      <c r="C107" s="13"/>
      <c r="D107" s="8" t="str">
        <f>IF(C107="","",IFERROR(VLOOKUP(C107,SOWTasks[[ID]:[Task / Scope Description]],3,FALSE),""))</f>
        <v/>
      </c>
      <c r="E107" s="7"/>
      <c r="F107" s="8"/>
      <c r="G107" s="13"/>
    </row>
    <row r="108" spans="1:7">
      <c r="A108" s="12"/>
      <c r="B108" s="13"/>
      <c r="C108" s="13"/>
      <c r="D108" s="8" t="str">
        <f>IF(C108="","",IFERROR(VLOOKUP(C108,SOWTasks[[ID]:[Task / Scope Description]],3,FALSE),""))</f>
        <v/>
      </c>
      <c r="E108" s="7"/>
      <c r="F108" s="8"/>
      <c r="G108" s="13"/>
    </row>
    <row r="109" spans="1:7">
      <c r="A109" s="12"/>
      <c r="B109" s="13"/>
      <c r="C109" s="13"/>
      <c r="D109" s="8" t="str">
        <f>IF(C109="","",IFERROR(VLOOKUP(C109,SOWTasks[[ID]:[Task / Scope Description]],3,FALSE),""))</f>
        <v/>
      </c>
      <c r="E109" s="7"/>
      <c r="F109" s="8"/>
      <c r="G109" s="13"/>
    </row>
    <row r="110" spans="1:7">
      <c r="A110" s="12"/>
      <c r="B110" s="13"/>
      <c r="C110" s="13"/>
      <c r="D110" s="8" t="str">
        <f>IF(C110="","",IFERROR(VLOOKUP(C110,SOWTasks[[ID]:[Task / Scope Description]],3,FALSE),""))</f>
        <v/>
      </c>
      <c r="E110" s="7"/>
      <c r="F110" s="8"/>
      <c r="G110" s="13"/>
    </row>
    <row r="111" spans="1:7">
      <c r="A111" s="12"/>
      <c r="B111" s="13"/>
      <c r="C111" s="13"/>
      <c r="D111" s="8" t="str">
        <f>IF(C111="","",IFERROR(VLOOKUP(C111,SOWTasks[[ID]:[Task / Scope Description]],3,FALSE),""))</f>
        <v/>
      </c>
      <c r="E111" s="7"/>
      <c r="F111" s="8"/>
      <c r="G111" s="13"/>
    </row>
    <row r="112" spans="1:7">
      <c r="A112" s="12"/>
      <c r="B112" s="13"/>
      <c r="C112" s="13"/>
      <c r="D112" s="8" t="str">
        <f>IF(C112="","",IFERROR(VLOOKUP(C112,SOWTasks[[ID]:[Task / Scope Description]],3,FALSE),""))</f>
        <v/>
      </c>
      <c r="E112" s="7"/>
      <c r="F112" s="8"/>
      <c r="G112" s="13"/>
    </row>
    <row r="113" spans="1:7">
      <c r="A113" s="12"/>
      <c r="B113" s="13"/>
      <c r="C113" s="13"/>
      <c r="D113" s="8" t="str">
        <f>IF(C113="","",IFERROR(VLOOKUP(C113,SOWTasks[[ID]:[Task / Scope Description]],3,FALSE),""))</f>
        <v/>
      </c>
      <c r="E113" s="7"/>
      <c r="F113" s="8"/>
      <c r="G113" s="13"/>
    </row>
    <row r="114" spans="1:7">
      <c r="A114" s="12"/>
      <c r="B114" s="13"/>
      <c r="C114" s="13"/>
      <c r="D114" s="8" t="str">
        <f>IF(C114="","",IFERROR(VLOOKUP(C114,SOWTasks[[ID]:[Task / Scope Description]],3,FALSE),""))</f>
        <v/>
      </c>
      <c r="E114" s="7"/>
      <c r="F114" s="8"/>
      <c r="G114" s="13"/>
    </row>
    <row r="115" spans="1:7">
      <c r="A115" s="12"/>
      <c r="B115" s="13"/>
      <c r="C115" s="13"/>
      <c r="D115" s="8" t="str">
        <f>IF(C115="","",IFERROR(VLOOKUP(C115,SOWTasks[[ID]:[Task / Scope Description]],3,FALSE),""))</f>
        <v/>
      </c>
      <c r="E115" s="7"/>
      <c r="F115" s="8"/>
      <c r="G115" s="13"/>
    </row>
    <row r="116" spans="1:7">
      <c r="A116" s="12"/>
      <c r="B116" s="13"/>
      <c r="C116" s="13"/>
      <c r="D116" s="8" t="str">
        <f>IF(C116="","",IFERROR(VLOOKUP(C116,SOWTasks[[ID]:[Task / Scope Description]],3,FALSE),""))</f>
        <v/>
      </c>
      <c r="E116" s="7"/>
      <c r="F116" s="8"/>
      <c r="G116" s="13"/>
    </row>
    <row r="117" spans="1:7">
      <c r="A117" s="12"/>
      <c r="B117" s="13"/>
      <c r="C117" s="13"/>
      <c r="D117" s="8" t="str">
        <f>IF(C117="","",IFERROR(VLOOKUP(C117,SOWTasks[[ID]:[Task / Scope Description]],3,FALSE),""))</f>
        <v/>
      </c>
      <c r="E117" s="7"/>
      <c r="F117" s="8"/>
      <c r="G117" s="13"/>
    </row>
    <row r="118" spans="1:7">
      <c r="A118" s="12"/>
      <c r="B118" s="13"/>
      <c r="C118" s="13"/>
      <c r="D118" s="8" t="str">
        <f>IF(C118="","",IFERROR(VLOOKUP(C118,SOWTasks[[ID]:[Task / Scope Description]],3,FALSE),""))</f>
        <v/>
      </c>
      <c r="E118" s="7"/>
      <c r="F118" s="8"/>
      <c r="G118" s="13"/>
    </row>
    <row r="119" spans="1:7">
      <c r="A119" s="12"/>
      <c r="B119" s="13"/>
      <c r="C119" s="13"/>
      <c r="D119" s="8" t="str">
        <f>IF(C119="","",IFERROR(VLOOKUP(C119,SOWTasks[[ID]:[Task / Scope Description]],3,FALSE),""))</f>
        <v/>
      </c>
      <c r="E119" s="7"/>
      <c r="F119" s="8"/>
      <c r="G119" s="13"/>
    </row>
    <row r="120" spans="1:7">
      <c r="A120" s="12"/>
      <c r="B120" s="13"/>
      <c r="C120" s="13"/>
      <c r="D120" s="8" t="str">
        <f>IF(C120="","",IFERROR(VLOOKUP(C120,SOWTasks[[ID]:[Task / Scope Description]],3,FALSE),""))</f>
        <v/>
      </c>
      <c r="E120" s="7"/>
      <c r="F120" s="8"/>
      <c r="G120" s="13"/>
    </row>
    <row r="121" spans="1:7">
      <c r="A121" s="12"/>
      <c r="B121" s="13"/>
      <c r="C121" s="13"/>
      <c r="D121" s="8" t="str">
        <f>IF(C121="","",IFERROR(VLOOKUP(C121,SOWTasks[[ID]:[Task / Scope Description]],3,FALSE),""))</f>
        <v/>
      </c>
      <c r="E121" s="7"/>
      <c r="F121" s="8"/>
      <c r="G121" s="13"/>
    </row>
    <row r="122" spans="1:7">
      <c r="A122" s="12"/>
      <c r="B122" s="13"/>
      <c r="C122" s="13"/>
      <c r="D122" s="8" t="str">
        <f>IF(C122="","",IFERROR(VLOOKUP(C122,SOWTasks[[ID]:[Task / Scope Description]],3,FALSE),""))</f>
        <v/>
      </c>
      <c r="E122" s="7"/>
      <c r="F122" s="8"/>
      <c r="G122" s="13"/>
    </row>
    <row r="123" spans="1:7">
      <c r="A123" s="12"/>
      <c r="B123" s="13"/>
      <c r="C123" s="13"/>
      <c r="D123" s="8" t="str">
        <f>IF(C123="","",IFERROR(VLOOKUP(C123,SOWTasks[[ID]:[Task / Scope Description]],3,FALSE),""))</f>
        <v/>
      </c>
      <c r="E123" s="7"/>
      <c r="F123" s="8"/>
      <c r="G123" s="13"/>
    </row>
    <row r="124" spans="1:7">
      <c r="A124" s="12"/>
      <c r="B124" s="13"/>
      <c r="C124" s="13"/>
      <c r="D124" s="8" t="str">
        <f>IF(C124="","",IFERROR(VLOOKUP(C124,SOWTasks[[ID]:[Task / Scope Description]],3,FALSE),""))</f>
        <v/>
      </c>
      <c r="E124" s="7"/>
      <c r="F124" s="8"/>
      <c r="G124" s="13"/>
    </row>
    <row r="125" spans="1:7">
      <c r="A125" s="12"/>
      <c r="B125" s="13"/>
      <c r="C125" s="13"/>
      <c r="D125" s="8" t="str">
        <f>IF(C125="","",IFERROR(VLOOKUP(C125,SOWTasks[[ID]:[Task / Scope Description]],3,FALSE),""))</f>
        <v/>
      </c>
      <c r="E125" s="7"/>
      <c r="F125" s="8"/>
      <c r="G125" s="13"/>
    </row>
    <row r="126" spans="1:7">
      <c r="A126" s="12"/>
      <c r="B126" s="13"/>
      <c r="C126" s="13"/>
      <c r="D126" s="8" t="str">
        <f>IF(C126="","",IFERROR(VLOOKUP(C126,SOWTasks[[ID]:[Task / Scope Description]],3,FALSE),""))</f>
        <v/>
      </c>
      <c r="E126" s="7"/>
      <c r="F126" s="8"/>
      <c r="G126" s="13"/>
    </row>
    <row r="127" spans="1:7">
      <c r="A127" s="12"/>
      <c r="B127" s="13"/>
      <c r="C127" s="13"/>
      <c r="D127" s="8" t="str">
        <f>IF(C127="","",IFERROR(VLOOKUP(C127,SOWTasks[[ID]:[Task / Scope Description]],3,FALSE),""))</f>
        <v/>
      </c>
      <c r="E127" s="7"/>
      <c r="F127" s="8"/>
      <c r="G127" s="13"/>
    </row>
    <row r="128" spans="1:7">
      <c r="A128" s="12"/>
      <c r="B128" s="13"/>
      <c r="C128" s="13"/>
      <c r="D128" s="8" t="str">
        <f>IF(C128="","",IFERROR(VLOOKUP(C128,SOWTasks[[ID]:[Task / Scope Description]],3,FALSE),""))</f>
        <v/>
      </c>
      <c r="E128" s="7"/>
      <c r="F128" s="8"/>
      <c r="G128" s="13"/>
    </row>
    <row r="129" spans="1:7">
      <c r="A129" s="12"/>
      <c r="B129" s="13"/>
      <c r="C129" s="13"/>
      <c r="D129" s="8" t="str">
        <f>IF(C129="","",IFERROR(VLOOKUP(C129,SOWTasks[[ID]:[Task / Scope Description]],3,FALSE),""))</f>
        <v/>
      </c>
      <c r="E129" s="7"/>
      <c r="F129" s="8"/>
      <c r="G129" s="13"/>
    </row>
    <row r="130" spans="1:7">
      <c r="A130" s="12"/>
      <c r="B130" s="13"/>
      <c r="C130" s="13"/>
      <c r="D130" s="8" t="str">
        <f>IF(C130="","",IFERROR(VLOOKUP(C130,SOWTasks[[ID]:[Task / Scope Description]],3,FALSE),""))</f>
        <v/>
      </c>
      <c r="E130" s="7"/>
      <c r="F130" s="8"/>
      <c r="G130" s="13"/>
    </row>
    <row r="131" spans="1:7">
      <c r="A131" s="12"/>
      <c r="B131" s="13"/>
      <c r="C131" s="13"/>
      <c r="D131" s="8" t="str">
        <f>IF(C131="","",IFERROR(VLOOKUP(C131,SOWTasks[[ID]:[Task / Scope Description]],3,FALSE),""))</f>
        <v/>
      </c>
      <c r="E131" s="7"/>
      <c r="F131" s="8"/>
      <c r="G131" s="13"/>
    </row>
    <row r="132" spans="1:7">
      <c r="A132" s="12"/>
      <c r="B132" s="13"/>
      <c r="C132" s="13"/>
      <c r="D132" s="8" t="str">
        <f>IF(C132="","",IFERROR(VLOOKUP(C132,SOWTasks[[ID]:[Task / Scope Description]],3,FALSE),""))</f>
        <v/>
      </c>
      <c r="E132" s="7"/>
      <c r="F132" s="8"/>
      <c r="G132" s="13"/>
    </row>
    <row r="133" spans="1:7">
      <c r="A133" s="12"/>
      <c r="B133" s="13"/>
      <c r="C133" s="13"/>
      <c r="D133" s="8" t="str">
        <f>IF(C133="","",IFERROR(VLOOKUP(C133,SOWTasks[[ID]:[Task / Scope Description]],3,FALSE),""))</f>
        <v/>
      </c>
      <c r="E133" s="7"/>
      <c r="F133" s="8"/>
      <c r="G133" s="13"/>
    </row>
    <row r="134" spans="1:7">
      <c r="A134" s="12"/>
      <c r="B134" s="13"/>
      <c r="C134" s="13"/>
      <c r="D134" s="8" t="str">
        <f>IF(C134="","",IFERROR(VLOOKUP(C134,SOWTasks[[ID]:[Task / Scope Description]],3,FALSE),""))</f>
        <v/>
      </c>
      <c r="E134" s="7"/>
      <c r="F134" s="8"/>
      <c r="G134" s="13"/>
    </row>
    <row r="135" spans="1:7">
      <c r="A135" s="12"/>
      <c r="B135" s="13"/>
      <c r="C135" s="13"/>
      <c r="D135" s="8" t="str">
        <f>IF(C135="","",IFERROR(VLOOKUP(C135,SOWTasks[[ID]:[Task / Scope Description]],3,FALSE),""))</f>
        <v/>
      </c>
      <c r="E135" s="7"/>
      <c r="F135" s="8"/>
      <c r="G135" s="13"/>
    </row>
    <row r="136" spans="1:7">
      <c r="A136" s="12"/>
      <c r="B136" s="13"/>
      <c r="C136" s="13"/>
      <c r="D136" s="8" t="str">
        <f>IF(C136="","",IFERROR(VLOOKUP(C136,SOWTasks[[ID]:[Task / Scope Description]],3,FALSE),""))</f>
        <v/>
      </c>
      <c r="E136" s="7"/>
      <c r="F136" s="8"/>
      <c r="G136" s="13"/>
    </row>
    <row r="137" spans="1:7">
      <c r="A137" s="12"/>
      <c r="B137" s="13"/>
      <c r="C137" s="13"/>
      <c r="D137" s="8" t="str">
        <f>IF(C137="","",IFERROR(VLOOKUP(C137,SOWTasks[[ID]:[Task / Scope Description]],3,FALSE),""))</f>
        <v/>
      </c>
      <c r="E137" s="7"/>
      <c r="F137" s="8"/>
      <c r="G137" s="13"/>
    </row>
    <row r="138" spans="1:7">
      <c r="A138" s="12"/>
      <c r="B138" s="13"/>
      <c r="C138" s="13"/>
      <c r="D138" s="8" t="str">
        <f>IF(C138="","",IFERROR(VLOOKUP(C138,SOWTasks[[ID]:[Task / Scope Description]],3,FALSE),""))</f>
        <v/>
      </c>
      <c r="E138" s="7"/>
      <c r="F138" s="8"/>
      <c r="G138" s="13"/>
    </row>
    <row r="139" spans="1:7">
      <c r="A139" s="12"/>
      <c r="B139" s="13"/>
      <c r="C139" s="13"/>
      <c r="D139" s="8" t="str">
        <f>IF(C139="","",IFERROR(VLOOKUP(C139,SOWTasks[[ID]:[Task / Scope Description]],3,FALSE),""))</f>
        <v/>
      </c>
      <c r="E139" s="7"/>
      <c r="F139" s="8"/>
      <c r="G139" s="13"/>
    </row>
    <row r="140" spans="1:7">
      <c r="A140" s="12"/>
      <c r="B140" s="13"/>
      <c r="C140" s="13"/>
      <c r="D140" s="8" t="str">
        <f>IF(C140="","",IFERROR(VLOOKUP(C140,SOWTasks[[ID]:[Task / Scope Description]],3,FALSE),""))</f>
        <v/>
      </c>
      <c r="E140" s="7"/>
      <c r="F140" s="8"/>
      <c r="G140" s="13"/>
    </row>
    <row r="141" spans="1:7">
      <c r="A141" s="12"/>
      <c r="B141" s="13"/>
      <c r="C141" s="13"/>
      <c r="D141" s="8" t="str">
        <f>IF(C141="","",IFERROR(VLOOKUP(C141,SOWTasks[[ID]:[Task / Scope Description]],3,FALSE),""))</f>
        <v/>
      </c>
      <c r="E141" s="7"/>
      <c r="F141" s="8"/>
      <c r="G141" s="13"/>
    </row>
    <row r="142" spans="1:7">
      <c r="A142" s="12"/>
      <c r="B142" s="13"/>
      <c r="C142" s="13"/>
      <c r="D142" s="8" t="str">
        <f>IF(C142="","",IFERROR(VLOOKUP(C142,SOWTasks[[ID]:[Task / Scope Description]],3,FALSE),""))</f>
        <v/>
      </c>
      <c r="E142" s="7"/>
      <c r="F142" s="8"/>
      <c r="G142" s="13"/>
    </row>
    <row r="143" spans="1:7">
      <c r="A143" s="12"/>
      <c r="B143" s="13"/>
      <c r="C143" s="13"/>
      <c r="D143" s="8" t="str">
        <f>IF(C143="","",IFERROR(VLOOKUP(C143,SOWTasks[[ID]:[Task / Scope Description]],3,FALSE),""))</f>
        <v/>
      </c>
      <c r="E143" s="7"/>
      <c r="F143" s="8"/>
      <c r="G143" s="13"/>
    </row>
    <row r="144" spans="1:7">
      <c r="A144" s="12"/>
      <c r="B144" s="13"/>
      <c r="C144" s="13"/>
      <c r="D144" s="8" t="str">
        <f>IF(C144="","",IFERROR(VLOOKUP(C144,SOWTasks[[ID]:[Task / Scope Description]],3,FALSE),""))</f>
        <v/>
      </c>
      <c r="E144" s="7"/>
      <c r="F144" s="8"/>
      <c r="G144" s="13"/>
    </row>
    <row r="145" spans="1:7">
      <c r="A145" s="12"/>
      <c r="B145" s="13"/>
      <c r="C145" s="13"/>
      <c r="D145" s="8" t="str">
        <f>IF(C145="","",IFERROR(VLOOKUP(C145,SOWTasks[[ID]:[Task / Scope Description]],3,FALSE),""))</f>
        <v/>
      </c>
      <c r="E145" s="7"/>
      <c r="F145" s="8"/>
      <c r="G145" s="13"/>
    </row>
    <row r="146" spans="1:7">
      <c r="A146" s="12"/>
      <c r="B146" s="13"/>
      <c r="C146" s="13"/>
      <c r="D146" s="8" t="str">
        <f>IF(C146="","",IFERROR(VLOOKUP(C146,SOWTasks[[ID]:[Task / Scope Description]],3,FALSE),""))</f>
        <v/>
      </c>
      <c r="E146" s="7"/>
      <c r="F146" s="8"/>
      <c r="G146" s="13"/>
    </row>
    <row r="147" spans="1:7">
      <c r="A147" s="12"/>
      <c r="B147" s="13"/>
      <c r="C147" s="13"/>
      <c r="D147" s="8" t="str">
        <f>IF(C147="","",IFERROR(VLOOKUP(C147,SOWTasks[[ID]:[Task / Scope Description]],3,FALSE),""))</f>
        <v/>
      </c>
      <c r="E147" s="7"/>
      <c r="F147" s="8"/>
      <c r="G147" s="13"/>
    </row>
    <row r="148" spans="1:7">
      <c r="A148" s="12"/>
      <c r="B148" s="13"/>
      <c r="C148" s="13"/>
      <c r="D148" s="8" t="str">
        <f>IF(C148="","",IFERROR(VLOOKUP(C148,SOWTasks[[ID]:[Task / Scope Description]],3,FALSE),""))</f>
        <v/>
      </c>
      <c r="E148" s="7"/>
      <c r="F148" s="8"/>
      <c r="G148" s="13"/>
    </row>
    <row r="149" spans="1:7">
      <c r="A149" s="12"/>
      <c r="B149" s="13"/>
      <c r="C149" s="13"/>
      <c r="D149" s="8" t="str">
        <f>IF(C149="","",IFERROR(VLOOKUP(C149,SOWTasks[[ID]:[Task / Scope Description]],3,FALSE),""))</f>
        <v/>
      </c>
      <c r="E149" s="7"/>
      <c r="F149" s="8"/>
      <c r="G149" s="13"/>
    </row>
    <row r="150" spans="1:7">
      <c r="A150" s="12"/>
      <c r="B150" s="13"/>
      <c r="C150" s="13"/>
      <c r="D150" s="8" t="str">
        <f>IF(C150="","",IFERROR(VLOOKUP(C150,SOWTasks[[ID]:[Task / Scope Description]],3,FALSE),""))</f>
        <v/>
      </c>
      <c r="E150" s="7"/>
      <c r="F150" s="8"/>
      <c r="G150" s="13"/>
    </row>
    <row r="151" spans="1:7">
      <c r="A151" s="12"/>
      <c r="B151" s="13"/>
      <c r="C151" s="13"/>
      <c r="D151" s="8" t="str">
        <f>IF(C151="","",IFERROR(VLOOKUP(C151,SOWTasks[[ID]:[Task / Scope Description]],3,FALSE),""))</f>
        <v/>
      </c>
      <c r="E151" s="7"/>
      <c r="F151" s="8"/>
      <c r="G151" s="13"/>
    </row>
    <row r="152" spans="1:7">
      <c r="A152" s="12"/>
      <c r="B152" s="13"/>
      <c r="C152" s="13"/>
      <c r="D152" s="8" t="str">
        <f>IF(C152="","",IFERROR(VLOOKUP(C152,SOWTasks[[ID]:[Task / Scope Description]],3,FALSE),""))</f>
        <v/>
      </c>
      <c r="E152" s="7"/>
      <c r="F152" s="8"/>
      <c r="G152" s="13"/>
    </row>
    <row r="153" spans="1:7">
      <c r="A153" s="12"/>
      <c r="B153" s="13"/>
      <c r="C153" s="13"/>
      <c r="D153" s="8" t="str">
        <f>IF(C153="","",IFERROR(VLOOKUP(C153,SOWTasks[[ID]:[Task / Scope Description]],3,FALSE),""))</f>
        <v/>
      </c>
      <c r="E153" s="7"/>
      <c r="F153" s="8"/>
      <c r="G153" s="13"/>
    </row>
    <row r="154" spans="1:7">
      <c r="A154" s="12"/>
      <c r="B154" s="13"/>
      <c r="C154" s="13"/>
      <c r="D154" s="8" t="str">
        <f>IF(C154="","",IFERROR(VLOOKUP(C154,SOWTasks[[ID]:[Task / Scope Description]],3,FALSE),""))</f>
        <v/>
      </c>
      <c r="E154" s="7"/>
      <c r="F154" s="8"/>
      <c r="G154" s="13"/>
    </row>
    <row r="155" spans="1:7">
      <c r="A155" s="12"/>
      <c r="B155" s="13"/>
      <c r="C155" s="13"/>
      <c r="D155" s="8" t="str">
        <f>IF(C155="","",IFERROR(VLOOKUP(C155,SOWTasks[[ID]:[Task / Scope Description]],3,FALSE),""))</f>
        <v/>
      </c>
      <c r="E155" s="7"/>
      <c r="F155" s="8"/>
      <c r="G155" s="13"/>
    </row>
    <row r="156" spans="1:7">
      <c r="A156" s="12"/>
      <c r="B156" s="13"/>
      <c r="C156" s="13"/>
      <c r="D156" s="8" t="str">
        <f>IF(C156="","",IFERROR(VLOOKUP(C156,SOWTasks[[ID]:[Task / Scope Description]],3,FALSE),""))</f>
        <v/>
      </c>
      <c r="E156" s="7"/>
      <c r="F156" s="8"/>
      <c r="G156" s="13"/>
    </row>
    <row r="157" spans="1:7">
      <c r="A157" s="12"/>
      <c r="B157" s="13"/>
      <c r="C157" s="13"/>
      <c r="D157" s="8" t="str">
        <f>IF(C157="","",IFERROR(VLOOKUP(C157,SOWTasks[[ID]:[Task / Scope Description]],3,FALSE),""))</f>
        <v/>
      </c>
      <c r="E157" s="7"/>
      <c r="F157" s="8"/>
      <c r="G157" s="13"/>
    </row>
    <row r="158" spans="1:7">
      <c r="A158" s="12"/>
      <c r="B158" s="13"/>
      <c r="C158" s="13"/>
      <c r="D158" s="8" t="str">
        <f>IF(C158="","",IFERROR(VLOOKUP(C158,SOWTasks[[ID]:[Task / Scope Description]],3,FALSE),""))</f>
        <v/>
      </c>
      <c r="E158" s="7"/>
      <c r="F158" s="8"/>
      <c r="G158" s="13"/>
    </row>
    <row r="159" spans="1:7">
      <c r="A159" s="12"/>
      <c r="B159" s="13"/>
      <c r="C159" s="13"/>
      <c r="D159" s="8" t="str">
        <f>IF(C159="","",IFERROR(VLOOKUP(C159,SOWTasks[[ID]:[Task / Scope Description]],3,FALSE),""))</f>
        <v/>
      </c>
      <c r="E159" s="7"/>
      <c r="F159" s="8"/>
      <c r="G159" s="13"/>
    </row>
    <row r="160" spans="1:7">
      <c r="A160" s="12"/>
      <c r="B160" s="13"/>
      <c r="C160" s="13"/>
      <c r="D160" s="8" t="str">
        <f>IF(C160="","",IFERROR(VLOOKUP(C160,SOWTasks[[ID]:[Task / Scope Description]],3,FALSE),""))</f>
        <v/>
      </c>
      <c r="E160" s="7"/>
      <c r="F160" s="8"/>
      <c r="G160" s="13"/>
    </row>
    <row r="161" spans="1:7">
      <c r="A161" s="12"/>
      <c r="B161" s="13"/>
      <c r="C161" s="13"/>
      <c r="D161" s="8" t="str">
        <f>IF(C161="","",IFERROR(VLOOKUP(C161,SOWTasks[[ID]:[Task / Scope Description]],3,FALSE),""))</f>
        <v/>
      </c>
      <c r="E161" s="7"/>
      <c r="F161" s="8"/>
      <c r="G161" s="13"/>
    </row>
    <row r="162" spans="1:7">
      <c r="A162" s="12"/>
      <c r="B162" s="13"/>
      <c r="C162" s="13"/>
      <c r="D162" s="8" t="str">
        <f>IF(C162="","",IFERROR(VLOOKUP(C162,SOWTasks[[ID]:[Task / Scope Description]],3,FALSE),""))</f>
        <v/>
      </c>
      <c r="E162" s="7"/>
      <c r="F162" s="8"/>
      <c r="G162" s="13"/>
    </row>
    <row r="163" spans="1:7">
      <c r="A163" s="12"/>
      <c r="B163" s="13"/>
      <c r="C163" s="13"/>
      <c r="D163" s="8" t="str">
        <f>IF(C163="","",IFERROR(VLOOKUP(C163,SOWTasks[[ID]:[Task / Scope Description]],3,FALSE),""))</f>
        <v/>
      </c>
      <c r="E163" s="7"/>
      <c r="F163" s="8"/>
      <c r="G163" s="13"/>
    </row>
    <row r="164" spans="1:7">
      <c r="A164" s="12"/>
      <c r="B164" s="13"/>
      <c r="C164" s="13"/>
      <c r="D164" s="8" t="str">
        <f>IF(C164="","",IFERROR(VLOOKUP(C164,SOWTasks[[ID]:[Task / Scope Description]],3,FALSE),""))</f>
        <v/>
      </c>
      <c r="E164" s="7"/>
      <c r="F164" s="8"/>
      <c r="G164" s="13"/>
    </row>
    <row r="165" spans="1:7">
      <c r="A165" s="12"/>
      <c r="B165" s="13"/>
      <c r="C165" s="13"/>
      <c r="D165" s="8" t="str">
        <f>IF(C165="","",IFERROR(VLOOKUP(C165,SOWTasks[[ID]:[Task / Scope Description]],3,FALSE),""))</f>
        <v/>
      </c>
      <c r="E165" s="7"/>
      <c r="F165" s="8"/>
      <c r="G165" s="13"/>
    </row>
    <row r="166" spans="1:7">
      <c r="A166" s="12"/>
      <c r="B166" s="13"/>
      <c r="C166" s="13"/>
      <c r="D166" s="8" t="str">
        <f>IF(C166="","",IFERROR(VLOOKUP(C166,SOWTasks[[ID]:[Task / Scope Description]],3,FALSE),""))</f>
        <v/>
      </c>
      <c r="E166" s="7"/>
      <c r="F166" s="8"/>
      <c r="G166" s="13"/>
    </row>
    <row r="167" spans="1:7">
      <c r="A167" s="12"/>
      <c r="B167" s="13"/>
      <c r="C167" s="13"/>
      <c r="D167" s="8" t="str">
        <f>IF(C167="","",IFERROR(VLOOKUP(C167,SOWTasks[[ID]:[Task / Scope Description]],3,FALSE),""))</f>
        <v/>
      </c>
      <c r="E167" s="7"/>
      <c r="F167" s="8"/>
      <c r="G167" s="13"/>
    </row>
    <row r="168" spans="1:7">
      <c r="A168" s="12"/>
      <c r="B168" s="13"/>
      <c r="C168" s="13"/>
      <c r="D168" s="8" t="str">
        <f>IF(C168="","",IFERROR(VLOOKUP(C168,SOWTasks[[ID]:[Task / Scope Description]],3,FALSE),""))</f>
        <v/>
      </c>
      <c r="E168" s="7"/>
      <c r="F168" s="8"/>
      <c r="G168" s="13"/>
    </row>
    <row r="169" spans="1:7">
      <c r="A169" s="12"/>
      <c r="B169" s="13"/>
      <c r="C169" s="13"/>
      <c r="D169" s="8" t="str">
        <f>IF(C169="","",IFERROR(VLOOKUP(C169,SOWTasks[[ID]:[Task / Scope Description]],3,FALSE),""))</f>
        <v/>
      </c>
      <c r="E169" s="7"/>
      <c r="F169" s="8"/>
      <c r="G169" s="13"/>
    </row>
    <row r="170" spans="1:7">
      <c r="A170" s="12"/>
      <c r="B170" s="13"/>
      <c r="C170" s="13"/>
      <c r="D170" s="8" t="str">
        <f>IF(C170="","",IFERROR(VLOOKUP(C170,SOWTasks[[ID]:[Task / Scope Description]],3,FALSE),""))</f>
        <v/>
      </c>
      <c r="E170" s="7"/>
      <c r="F170" s="8"/>
      <c r="G170" s="13"/>
    </row>
    <row r="171" spans="1:7">
      <c r="A171" s="12"/>
      <c r="B171" s="13"/>
      <c r="C171" s="13"/>
      <c r="D171" s="8" t="str">
        <f>IF(C171="","",IFERROR(VLOOKUP(C171,SOWTasks[[ID]:[Task / Scope Description]],3,FALSE),""))</f>
        <v/>
      </c>
      <c r="E171" s="7"/>
      <c r="F171" s="8"/>
      <c r="G171" s="13"/>
    </row>
    <row r="172" spans="1:7">
      <c r="A172" s="12"/>
      <c r="B172" s="13"/>
      <c r="C172" s="13"/>
      <c r="D172" s="8" t="str">
        <f>IF(C172="","",IFERROR(VLOOKUP(C172,SOWTasks[[ID]:[Task / Scope Description]],3,FALSE),""))</f>
        <v/>
      </c>
      <c r="E172" s="7"/>
      <c r="F172" s="8"/>
      <c r="G172" s="13"/>
    </row>
    <row r="173" spans="1:7">
      <c r="A173" s="12"/>
      <c r="B173" s="13"/>
      <c r="C173" s="13"/>
      <c r="D173" s="8" t="str">
        <f>IF(C173="","",IFERROR(VLOOKUP(C173,SOWTasks[[ID]:[Task / Scope Description]],3,FALSE),""))</f>
        <v/>
      </c>
      <c r="E173" s="7"/>
      <c r="F173" s="8"/>
      <c r="G173" s="13"/>
    </row>
    <row r="174" spans="1:7">
      <c r="A174" s="12"/>
      <c r="B174" s="13"/>
      <c r="C174" s="13"/>
      <c r="D174" s="8" t="str">
        <f>IF(C174="","",IFERROR(VLOOKUP(C174,SOWTasks[[ID]:[Task / Scope Description]],3,FALSE),""))</f>
        <v/>
      </c>
      <c r="E174" s="7"/>
      <c r="F174" s="8"/>
      <c r="G174" s="13"/>
    </row>
    <row r="175" spans="1:7">
      <c r="A175" s="12"/>
      <c r="B175" s="13"/>
      <c r="C175" s="13"/>
      <c r="D175" s="8" t="str">
        <f>IF(C175="","",IFERROR(VLOOKUP(C175,SOWTasks[[ID]:[Task / Scope Description]],3,FALSE),""))</f>
        <v/>
      </c>
      <c r="E175" s="7"/>
      <c r="F175" s="8"/>
      <c r="G175" s="13"/>
    </row>
    <row r="176" spans="1:7">
      <c r="A176" s="12"/>
      <c r="B176" s="13"/>
      <c r="C176" s="13"/>
      <c r="D176" s="8" t="str">
        <f>IF(C176="","",IFERROR(VLOOKUP(C176,SOWTasks[[ID]:[Task / Scope Description]],3,FALSE),""))</f>
        <v/>
      </c>
      <c r="E176" s="7"/>
      <c r="F176" s="8"/>
      <c r="G176" s="13"/>
    </row>
    <row r="177" spans="1:7">
      <c r="A177" s="12"/>
      <c r="B177" s="13"/>
      <c r="C177" s="13"/>
      <c r="D177" s="8" t="str">
        <f>IF(C177="","",IFERROR(VLOOKUP(C177,SOWTasks[[ID]:[Task / Scope Description]],3,FALSE),""))</f>
        <v/>
      </c>
      <c r="E177" s="7"/>
      <c r="F177" s="8"/>
      <c r="G177" s="13"/>
    </row>
    <row r="178" spans="1:7">
      <c r="A178" s="12"/>
      <c r="B178" s="13"/>
      <c r="C178" s="13"/>
      <c r="D178" s="8" t="str">
        <f>IF(C178="","",IFERROR(VLOOKUP(C178,SOWTasks[[ID]:[Task / Scope Description]],3,FALSE),""))</f>
        <v/>
      </c>
      <c r="E178" s="7"/>
      <c r="F178" s="8"/>
      <c r="G178" s="13"/>
    </row>
    <row r="179" spans="1:7">
      <c r="A179" s="12"/>
      <c r="B179" s="13"/>
      <c r="C179" s="13"/>
      <c r="D179" s="8" t="str">
        <f>IF(C179="","",IFERROR(VLOOKUP(C179,SOWTasks[[ID]:[Task / Scope Description]],3,FALSE),""))</f>
        <v/>
      </c>
      <c r="E179" s="7"/>
      <c r="F179" s="8"/>
      <c r="G179" s="13"/>
    </row>
    <row r="180" spans="1:7">
      <c r="A180" s="12"/>
      <c r="B180" s="13"/>
      <c r="C180" s="13"/>
      <c r="D180" s="8" t="str">
        <f>IF(C180="","",IFERROR(VLOOKUP(C180,SOWTasks[[ID]:[Task / Scope Description]],3,FALSE),""))</f>
        <v/>
      </c>
      <c r="E180" s="7"/>
      <c r="F180" s="8"/>
      <c r="G180" s="13"/>
    </row>
    <row r="181" spans="1:7">
      <c r="A181" s="12"/>
      <c r="B181" s="13"/>
      <c r="C181" s="13"/>
      <c r="D181" s="8" t="str">
        <f>IF(C181="","",IFERROR(VLOOKUP(C181,SOWTasks[[ID]:[Task / Scope Description]],3,FALSE),""))</f>
        <v/>
      </c>
      <c r="E181" s="7"/>
      <c r="F181" s="8"/>
      <c r="G181" s="13"/>
    </row>
    <row r="182" spans="1:7">
      <c r="A182" s="12"/>
      <c r="B182" s="13"/>
      <c r="C182" s="13"/>
      <c r="D182" s="8" t="str">
        <f>IF(C182="","",IFERROR(VLOOKUP(C182,SOWTasks[[ID]:[Task / Scope Description]],3,FALSE),""))</f>
        <v/>
      </c>
      <c r="E182" s="7"/>
      <c r="F182" s="8"/>
      <c r="G182" s="13"/>
    </row>
    <row r="183" spans="1:7">
      <c r="A183" s="12"/>
      <c r="B183" s="13"/>
      <c r="C183" s="13"/>
      <c r="D183" s="8" t="str">
        <f>IF(C183="","",IFERROR(VLOOKUP(C183,SOWTasks[[ID]:[Task / Scope Description]],3,FALSE),""))</f>
        <v/>
      </c>
      <c r="E183" s="7"/>
      <c r="F183" s="8"/>
      <c r="G183" s="13"/>
    </row>
    <row r="184" spans="1:7">
      <c r="A184" s="12"/>
      <c r="B184" s="13"/>
      <c r="C184" s="13"/>
      <c r="D184" s="8" t="str">
        <f>IF(C184="","",IFERROR(VLOOKUP(C184,SOWTasks[[ID]:[Task / Scope Description]],3,FALSE),""))</f>
        <v/>
      </c>
      <c r="E184" s="7"/>
      <c r="F184" s="8"/>
      <c r="G184" s="13"/>
    </row>
    <row r="185" spans="1:7">
      <c r="A185" s="12"/>
      <c r="B185" s="13"/>
      <c r="C185" s="13"/>
      <c r="D185" s="8" t="str">
        <f>IF(C185="","",IFERROR(VLOOKUP(C185,SOWTasks[[ID]:[Task / Scope Description]],3,FALSE),""))</f>
        <v/>
      </c>
      <c r="E185" s="7"/>
      <c r="F185" s="8"/>
      <c r="G185" s="13"/>
    </row>
    <row r="186" spans="1:7">
      <c r="A186" s="12"/>
      <c r="B186" s="13"/>
      <c r="C186" s="13"/>
      <c r="D186" s="8" t="str">
        <f>IF(C186="","",IFERROR(VLOOKUP(C186,SOWTasks[[ID]:[Task / Scope Description]],3,FALSE),""))</f>
        <v/>
      </c>
      <c r="E186" s="7"/>
      <c r="F186" s="8"/>
      <c r="G186" s="13"/>
    </row>
    <row r="187" spans="1:7">
      <c r="A187" s="12"/>
      <c r="B187" s="13"/>
      <c r="C187" s="13"/>
      <c r="D187" s="8" t="str">
        <f>IF(C187="","",IFERROR(VLOOKUP(C187,SOWTasks[[ID]:[Task / Scope Description]],3,FALSE),""))</f>
        <v/>
      </c>
      <c r="E187" s="7"/>
      <c r="F187" s="8"/>
      <c r="G187" s="13"/>
    </row>
    <row r="188" spans="1:7">
      <c r="A188" s="12"/>
      <c r="B188" s="13"/>
      <c r="C188" s="13"/>
      <c r="D188" s="8" t="str">
        <f>IF(C188="","",IFERROR(VLOOKUP(C188,SOWTasks[[ID]:[Task / Scope Description]],3,FALSE),""))</f>
        <v/>
      </c>
      <c r="E188" s="7"/>
      <c r="F188" s="8"/>
      <c r="G188" s="13"/>
    </row>
    <row r="189" spans="1:7">
      <c r="A189" s="12"/>
      <c r="B189" s="13"/>
      <c r="C189" s="13"/>
      <c r="D189" s="8" t="str">
        <f>IF(C189="","",IFERROR(VLOOKUP(C189,SOWTasks[[ID]:[Task / Scope Description]],3,FALSE),""))</f>
        <v/>
      </c>
      <c r="E189" s="7"/>
      <c r="F189" s="8"/>
      <c r="G189" s="13"/>
    </row>
    <row r="190" spans="1:7">
      <c r="A190" s="12"/>
      <c r="B190" s="13"/>
      <c r="C190" s="13"/>
      <c r="D190" s="8" t="str">
        <f>IF(C190="","",IFERROR(VLOOKUP(C190,SOWTasks[[ID]:[Task / Scope Description]],3,FALSE),""))</f>
        <v/>
      </c>
      <c r="E190" s="7"/>
      <c r="F190" s="8"/>
      <c r="G190" s="13"/>
    </row>
    <row r="191" spans="1:7">
      <c r="A191" s="12"/>
      <c r="B191" s="13"/>
      <c r="C191" s="13"/>
      <c r="D191" s="8" t="str">
        <f>IF(C191="","",IFERROR(VLOOKUP(C191,SOWTasks[[ID]:[Task / Scope Description]],3,FALSE),""))</f>
        <v/>
      </c>
      <c r="E191" s="7"/>
      <c r="F191" s="8"/>
      <c r="G191" s="13"/>
    </row>
    <row r="192" spans="1:7">
      <c r="A192" s="12"/>
      <c r="B192" s="13"/>
      <c r="C192" s="13"/>
      <c r="D192" s="8" t="str">
        <f>IF(C192="","",IFERROR(VLOOKUP(C192,SOWTasks[[ID]:[Task / Scope Description]],3,FALSE),""))</f>
        <v/>
      </c>
      <c r="E192" s="7"/>
      <c r="F192" s="8"/>
      <c r="G192" s="13"/>
    </row>
    <row r="193" spans="1:7">
      <c r="A193" s="12"/>
      <c r="B193" s="13"/>
      <c r="C193" s="13"/>
      <c r="D193" s="8" t="str">
        <f>IF(C193="","",IFERROR(VLOOKUP(C193,SOWTasks[[ID]:[Task / Scope Description]],3,FALSE),""))</f>
        <v/>
      </c>
      <c r="E193" s="7"/>
      <c r="F193" s="8"/>
      <c r="G193" s="13"/>
    </row>
    <row r="194" spans="1:7">
      <c r="A194" s="12"/>
      <c r="B194" s="13"/>
      <c r="C194" s="13"/>
      <c r="D194" s="8" t="str">
        <f>IF(C194="","",IFERROR(VLOOKUP(C194,SOWTasks[[ID]:[Task / Scope Description]],3,FALSE),""))</f>
        <v/>
      </c>
      <c r="E194" s="7"/>
      <c r="F194" s="8"/>
      <c r="G194" s="13"/>
    </row>
    <row r="195" spans="1:7">
      <c r="A195" s="12"/>
      <c r="B195" s="13"/>
      <c r="C195" s="13"/>
      <c r="D195" s="8" t="str">
        <f>IF(C195="","",IFERROR(VLOOKUP(C195,SOWTasks[[ID]:[Task / Scope Description]],3,FALSE),""))</f>
        <v/>
      </c>
      <c r="E195" s="7"/>
      <c r="F195" s="8"/>
      <c r="G195" s="13"/>
    </row>
    <row r="196" spans="1:7">
      <c r="A196" s="12"/>
      <c r="B196" s="13"/>
      <c r="C196" s="13"/>
      <c r="D196" s="8" t="str">
        <f>IF(C196="","",IFERROR(VLOOKUP(C196,SOWTasks[[ID]:[Task / Scope Description]],3,FALSE),""))</f>
        <v/>
      </c>
      <c r="E196" s="7"/>
      <c r="F196" s="8"/>
      <c r="G196" s="13"/>
    </row>
    <row r="197" spans="1:7">
      <c r="A197" s="12"/>
      <c r="B197" s="13"/>
      <c r="C197" s="13"/>
      <c r="D197" s="8" t="str">
        <f>IF(C197="","",IFERROR(VLOOKUP(C197,SOWTasks[[ID]:[Task / Scope Description]],3,FALSE),""))</f>
        <v/>
      </c>
      <c r="E197" s="7"/>
      <c r="F197" s="8"/>
      <c r="G197" s="13"/>
    </row>
    <row r="198" spans="1:7">
      <c r="A198" s="12"/>
      <c r="B198" s="13"/>
      <c r="C198" s="13"/>
      <c r="D198" s="8" t="str">
        <f>IF(C198="","",IFERROR(VLOOKUP(C198,SOWTasks[[ID]:[Task / Scope Description]],3,FALSE),""))</f>
        <v/>
      </c>
      <c r="E198" s="7"/>
      <c r="F198" s="8"/>
      <c r="G198" s="13"/>
    </row>
    <row r="199" spans="1:7">
      <c r="A199" s="12"/>
      <c r="B199" s="13"/>
      <c r="C199" s="13"/>
      <c r="D199" s="8" t="str">
        <f>IF(C199="","",IFERROR(VLOOKUP(C199,SOWTasks[[ID]:[Task / Scope Description]],3,FALSE),""))</f>
        <v/>
      </c>
      <c r="E199" s="7"/>
      <c r="F199" s="8"/>
      <c r="G199" s="13"/>
    </row>
    <row r="200" spans="1:7">
      <c r="A200" s="12"/>
      <c r="B200" s="13"/>
      <c r="C200" s="13"/>
      <c r="D200" s="8" t="str">
        <f>IF(C200="","",IFERROR(VLOOKUP(C200,SOWTasks[[ID]:[Task / Scope Description]],3,FALSE),""))</f>
        <v/>
      </c>
      <c r="E200" s="7"/>
      <c r="F200" s="8"/>
      <c r="G200" s="13"/>
    </row>
    <row r="201" spans="1:7">
      <c r="A201" s="12"/>
      <c r="B201" s="13"/>
      <c r="C201" s="13"/>
      <c r="D201" s="8" t="str">
        <f>IF(C201="","",IFERROR(VLOOKUP(C201,SOWTasks[[ID]:[Task / Scope Description]],3,FALSE),""))</f>
        <v/>
      </c>
      <c r="E201" s="7"/>
      <c r="F201" s="8"/>
      <c r="G201" s="13"/>
    </row>
    <row r="202" spans="1:7">
      <c r="A202" s="12"/>
      <c r="B202" s="13"/>
      <c r="C202" s="13"/>
      <c r="D202" s="8" t="str">
        <f>IF(C202="","",IFERROR(VLOOKUP(C202,SOWTasks[[ID]:[Task / Scope Description]],3,FALSE),""))</f>
        <v/>
      </c>
      <c r="E202" s="7"/>
      <c r="F202" s="8"/>
      <c r="G202" s="13"/>
    </row>
    <row r="203" spans="1:7">
      <c r="A203" s="12"/>
      <c r="B203" s="13"/>
      <c r="C203" s="13"/>
      <c r="D203" s="8" t="str">
        <f>IF(C203="","",IFERROR(VLOOKUP(C203,SOWTasks[[ID]:[Task / Scope Description]],3,FALSE),""))</f>
        <v/>
      </c>
      <c r="E203" s="7"/>
      <c r="F203" s="8"/>
      <c r="G203" s="13"/>
    </row>
    <row r="204" spans="1:7">
      <c r="A204" s="12"/>
      <c r="B204" s="13"/>
      <c r="C204" s="13"/>
      <c r="D204" s="8" t="str">
        <f>IF(C204="","",IFERROR(VLOOKUP(C204,SOWTasks[[ID]:[Task / Scope Description]],3,FALSE),""))</f>
        <v/>
      </c>
      <c r="E204" s="7"/>
      <c r="F204" s="8"/>
      <c r="G204" s="13"/>
    </row>
    <row r="205" spans="1:7">
      <c r="A205" s="12"/>
      <c r="B205" s="13"/>
      <c r="C205" s="13"/>
      <c r="D205" s="8" t="str">
        <f>IF(C205="","",IFERROR(VLOOKUP(C205,SOWTasks[[ID]:[Task / Scope Description]],3,FALSE),""))</f>
        <v/>
      </c>
      <c r="E205" s="7"/>
      <c r="F205" s="8"/>
      <c r="G205" s="13"/>
    </row>
    <row r="206" spans="1:7">
      <c r="A206" s="12"/>
      <c r="B206" s="13"/>
      <c r="C206" s="13"/>
      <c r="D206" s="8" t="str">
        <f>IF(C206="","",IFERROR(VLOOKUP(C206,SOWTasks[[ID]:[Task / Scope Description]],3,FALSE),""))</f>
        <v/>
      </c>
      <c r="E206" s="7"/>
      <c r="F206" s="8"/>
      <c r="G206" s="13"/>
    </row>
    <row r="207" spans="1:7">
      <c r="A207" s="12"/>
      <c r="B207" s="13"/>
      <c r="C207" s="13"/>
      <c r="D207" s="8" t="str">
        <f>IF(C207="","",IFERROR(VLOOKUP(C207,SOWTasks[[ID]:[Task / Scope Description]],3,FALSE),""))</f>
        <v/>
      </c>
      <c r="E207" s="7"/>
      <c r="F207" s="8"/>
      <c r="G207" s="13"/>
    </row>
    <row r="208" spans="1:7">
      <c r="A208" s="12"/>
      <c r="B208" s="13"/>
      <c r="C208" s="13"/>
      <c r="D208" s="8" t="str">
        <f>IF(C208="","",IFERROR(VLOOKUP(C208,SOWTasks[[ID]:[Task / Scope Description]],3,FALSE),""))</f>
        <v/>
      </c>
      <c r="E208" s="7"/>
      <c r="F208" s="8"/>
      <c r="G208" s="13"/>
    </row>
    <row r="209" spans="1:7">
      <c r="A209" s="12"/>
      <c r="B209" s="13"/>
      <c r="C209" s="13"/>
      <c r="D209" s="8" t="str">
        <f>IF(C209="","",IFERROR(VLOOKUP(C209,SOWTasks[[ID]:[Task / Scope Description]],3,FALSE),""))</f>
        <v/>
      </c>
      <c r="E209" s="7"/>
      <c r="F209" s="8"/>
      <c r="G209" s="13"/>
    </row>
    <row r="210" spans="1:7">
      <c r="A210" s="12"/>
      <c r="B210" s="13"/>
      <c r="C210" s="13"/>
      <c r="D210" s="8" t="str">
        <f>IF(C210="","",IFERROR(VLOOKUP(C210,SOWTasks[[ID]:[Task / Scope Description]],3,FALSE),""))</f>
        <v/>
      </c>
      <c r="E210" s="7"/>
      <c r="F210" s="8"/>
      <c r="G210" s="13"/>
    </row>
    <row r="211" spans="1:7">
      <c r="A211" s="12"/>
      <c r="B211" s="13"/>
      <c r="C211" s="13"/>
      <c r="D211" s="8" t="str">
        <f>IF(C211="","",IFERROR(VLOOKUP(C211,SOWTasks[[ID]:[Task / Scope Description]],3,FALSE),""))</f>
        <v/>
      </c>
      <c r="E211" s="7"/>
      <c r="F211" s="8"/>
      <c r="G211" s="13"/>
    </row>
    <row r="212" spans="1:7">
      <c r="A212" s="12"/>
      <c r="B212" s="13"/>
      <c r="C212" s="13"/>
      <c r="D212" s="8" t="str">
        <f>IF(C212="","",IFERROR(VLOOKUP(C212,SOWTasks[[ID]:[Task / Scope Description]],3,FALSE),""))</f>
        <v/>
      </c>
      <c r="E212" s="7"/>
      <c r="F212" s="8"/>
      <c r="G212" s="13"/>
    </row>
    <row r="213" spans="1:7">
      <c r="A213" s="12"/>
      <c r="B213" s="13"/>
      <c r="C213" s="13"/>
      <c r="D213" s="8" t="str">
        <f>IF(C213="","",IFERROR(VLOOKUP(C213,SOWTasks[[ID]:[Task / Scope Description]],3,FALSE),""))</f>
        <v/>
      </c>
      <c r="E213" s="7"/>
      <c r="F213" s="8"/>
      <c r="G213" s="13"/>
    </row>
    <row r="214" spans="1:7">
      <c r="A214" s="12"/>
      <c r="B214" s="13"/>
      <c r="C214" s="13"/>
      <c r="D214" s="8" t="str">
        <f>IF(C214="","",IFERROR(VLOOKUP(C214,SOWTasks[[ID]:[Task / Scope Description]],3,FALSE),""))</f>
        <v/>
      </c>
      <c r="E214" s="7"/>
      <c r="F214" s="8"/>
      <c r="G214" s="13"/>
    </row>
    <row r="215" spans="1:7">
      <c r="A215" s="12"/>
      <c r="B215" s="13"/>
      <c r="C215" s="13"/>
      <c r="D215" s="8" t="str">
        <f>IF(C215="","",IFERROR(VLOOKUP(C215,SOWTasks[[ID]:[Task / Scope Description]],3,FALSE),""))</f>
        <v/>
      </c>
      <c r="E215" s="7"/>
      <c r="F215" s="8"/>
      <c r="G215" s="13"/>
    </row>
    <row r="216" spans="1:7">
      <c r="A216" s="12"/>
      <c r="B216" s="13"/>
      <c r="C216" s="13"/>
      <c r="D216" s="8" t="str">
        <f>IF(C216="","",IFERROR(VLOOKUP(C216,SOWTasks[[ID]:[Task / Scope Description]],3,FALSE),""))</f>
        <v/>
      </c>
      <c r="E216" s="7"/>
      <c r="F216" s="8"/>
      <c r="G216" s="13"/>
    </row>
    <row r="217" spans="1:7">
      <c r="A217" s="12"/>
      <c r="B217" s="13"/>
      <c r="C217" s="13"/>
      <c r="D217" s="8" t="str">
        <f>IF(C217="","",IFERROR(VLOOKUP(C217,SOWTasks[[ID]:[Task / Scope Description]],3,FALSE),""))</f>
        <v/>
      </c>
      <c r="E217" s="7"/>
      <c r="F217" s="8"/>
      <c r="G217" s="13"/>
    </row>
    <row r="218" spans="1:7">
      <c r="A218" s="12"/>
      <c r="B218" s="13"/>
      <c r="C218" s="13"/>
      <c r="D218" s="8" t="str">
        <f>IF(C218="","",IFERROR(VLOOKUP(C218,SOWTasks[[ID]:[Task / Scope Description]],3,FALSE),""))</f>
        <v/>
      </c>
      <c r="E218" s="7"/>
      <c r="F218" s="8"/>
      <c r="G218" s="13"/>
    </row>
    <row r="219" spans="1:7">
      <c r="A219" s="12"/>
      <c r="B219" s="13"/>
      <c r="C219" s="13"/>
      <c r="D219" s="8" t="str">
        <f>IF(C219="","",IFERROR(VLOOKUP(C219,SOWTasks[[ID]:[Task / Scope Description]],3,FALSE),""))</f>
        <v/>
      </c>
      <c r="E219" s="7"/>
      <c r="F219" s="8"/>
      <c r="G219" s="13"/>
    </row>
    <row r="220" spans="1:7">
      <c r="A220" s="12"/>
      <c r="B220" s="13"/>
      <c r="C220" s="13"/>
      <c r="D220" s="8" t="str">
        <f>IF(C220="","",IFERROR(VLOOKUP(C220,SOWTasks[[ID]:[Task / Scope Description]],3,FALSE),""))</f>
        <v/>
      </c>
      <c r="E220" s="7"/>
      <c r="F220" s="8"/>
      <c r="G220" s="13"/>
    </row>
    <row r="221" spans="1:7">
      <c r="A221" s="12"/>
      <c r="B221" s="13"/>
      <c r="C221" s="13"/>
      <c r="D221" s="8" t="str">
        <f>IF(C221="","",IFERROR(VLOOKUP(C221,SOWTasks[[ID]:[Task / Scope Description]],3,FALSE),""))</f>
        <v/>
      </c>
      <c r="E221" s="7"/>
      <c r="F221" s="8"/>
      <c r="G221" s="13"/>
    </row>
    <row r="222" spans="1:7">
      <c r="A222" s="12"/>
      <c r="B222" s="13"/>
      <c r="C222" s="13"/>
      <c r="D222" s="8" t="str">
        <f>IF(C222="","",IFERROR(VLOOKUP(C222,SOWTasks[[ID]:[Task / Scope Description]],3,FALSE),""))</f>
        <v/>
      </c>
      <c r="E222" s="7"/>
      <c r="F222" s="8"/>
      <c r="G222" s="13"/>
    </row>
    <row r="223" spans="1:7">
      <c r="A223" s="12"/>
      <c r="B223" s="13"/>
      <c r="C223" s="13"/>
      <c r="D223" s="8" t="str">
        <f>IF(C223="","",IFERROR(VLOOKUP(C223,SOWTasks[[ID]:[Task / Scope Description]],3,FALSE),""))</f>
        <v/>
      </c>
      <c r="E223" s="7"/>
      <c r="F223" s="8"/>
      <c r="G223" s="13"/>
    </row>
    <row r="224" spans="1:7">
      <c r="A224" s="12"/>
      <c r="B224" s="13"/>
      <c r="C224" s="13"/>
      <c r="D224" s="8" t="str">
        <f>IF(C224="","",IFERROR(VLOOKUP(C224,SOWTasks[[ID]:[Task / Scope Description]],3,FALSE),""))</f>
        <v/>
      </c>
      <c r="E224" s="7"/>
      <c r="F224" s="8"/>
      <c r="G224" s="13"/>
    </row>
    <row r="225" spans="1:7">
      <c r="A225" s="12"/>
      <c r="B225" s="13"/>
      <c r="C225" s="13"/>
      <c r="D225" s="8" t="str">
        <f>IF(C225="","",IFERROR(VLOOKUP(C225,SOWTasks[[ID]:[Task / Scope Description]],3,FALSE),""))</f>
        <v/>
      </c>
      <c r="E225" s="7"/>
      <c r="F225" s="8"/>
      <c r="G225" s="13"/>
    </row>
    <row r="226" spans="1:7">
      <c r="A226" s="12"/>
      <c r="B226" s="13"/>
      <c r="C226" s="13"/>
      <c r="D226" s="8" t="str">
        <f>IF(C226="","",IFERROR(VLOOKUP(C226,SOWTasks[[ID]:[Task / Scope Description]],3,FALSE),""))</f>
        <v/>
      </c>
      <c r="E226" s="7"/>
      <c r="F226" s="8"/>
      <c r="G226" s="13"/>
    </row>
    <row r="227" spans="1:7">
      <c r="A227" s="12"/>
      <c r="B227" s="13"/>
      <c r="C227" s="13"/>
      <c r="D227" s="8" t="str">
        <f>IF(C227="","",IFERROR(VLOOKUP(C227,SOWTasks[[ID]:[Task / Scope Description]],3,FALSE),""))</f>
        <v/>
      </c>
      <c r="E227" s="7"/>
      <c r="F227" s="8"/>
      <c r="G227" s="13"/>
    </row>
    <row r="228" spans="1:7">
      <c r="A228" s="12"/>
      <c r="B228" s="13"/>
      <c r="C228" s="13"/>
      <c r="D228" s="8" t="str">
        <f>IF(C228="","",IFERROR(VLOOKUP(C228,SOWTasks[[ID]:[Task / Scope Description]],3,FALSE),""))</f>
        <v/>
      </c>
      <c r="E228" s="7"/>
      <c r="F228" s="8"/>
      <c r="G228" s="13"/>
    </row>
    <row r="229" spans="1:7">
      <c r="A229" s="12"/>
      <c r="B229" s="13"/>
      <c r="C229" s="13"/>
      <c r="D229" s="8" t="str">
        <f>IF(C229="","",IFERROR(VLOOKUP(C229,SOWTasks[[ID]:[Task / Scope Description]],3,FALSE),""))</f>
        <v/>
      </c>
      <c r="E229" s="7"/>
      <c r="F229" s="8"/>
      <c r="G229" s="13"/>
    </row>
    <row r="230" spans="1:7">
      <c r="A230" s="12"/>
      <c r="B230" s="13"/>
      <c r="C230" s="13"/>
      <c r="D230" s="8" t="str">
        <f>IF(C230="","",IFERROR(VLOOKUP(C230,SOWTasks[[ID]:[Task / Scope Description]],3,FALSE),""))</f>
        <v/>
      </c>
      <c r="E230" s="7"/>
      <c r="F230" s="8"/>
      <c r="G230" s="13"/>
    </row>
    <row r="231" spans="1:7">
      <c r="A231" s="12"/>
      <c r="B231" s="13"/>
      <c r="C231" s="13"/>
      <c r="D231" s="8" t="str">
        <f>IF(C231="","",IFERROR(VLOOKUP(C231,SOWTasks[[ID]:[Task / Scope Description]],3,FALSE),""))</f>
        <v/>
      </c>
      <c r="E231" s="7"/>
      <c r="F231" s="8"/>
      <c r="G231" s="13"/>
    </row>
    <row r="232" spans="1:7">
      <c r="A232" s="12"/>
      <c r="B232" s="13"/>
      <c r="C232" s="13"/>
      <c r="D232" s="8" t="str">
        <f>IF(C232="","",IFERROR(VLOOKUP(C232,SOWTasks[[ID]:[Task / Scope Description]],3,FALSE),""))</f>
        <v/>
      </c>
      <c r="E232" s="7"/>
      <c r="F232" s="8"/>
      <c r="G232" s="13"/>
    </row>
    <row r="233" spans="1:7">
      <c r="A233" s="12"/>
      <c r="B233" s="13"/>
      <c r="C233" s="13"/>
      <c r="D233" s="8" t="str">
        <f>IF(C233="","",IFERROR(VLOOKUP(C233,SOWTasks[[ID]:[Task / Scope Description]],3,FALSE),""))</f>
        <v/>
      </c>
      <c r="E233" s="7"/>
      <c r="F233" s="8"/>
      <c r="G233" s="13"/>
    </row>
    <row r="234" spans="1:7">
      <c r="A234" s="12"/>
      <c r="B234" s="13"/>
      <c r="C234" s="13"/>
      <c r="D234" s="8" t="str">
        <f>IF(C234="","",IFERROR(VLOOKUP(C234,SOWTasks[[ID]:[Task / Scope Description]],3,FALSE),""))</f>
        <v/>
      </c>
      <c r="E234" s="7"/>
      <c r="F234" s="8"/>
      <c r="G234" s="13"/>
    </row>
    <row r="235" spans="1:7">
      <c r="A235" s="12"/>
      <c r="B235" s="13"/>
      <c r="C235" s="13"/>
      <c r="D235" s="8" t="str">
        <f>IF(C235="","",IFERROR(VLOOKUP(C235,SOWTasks[[ID]:[Task / Scope Description]],3,FALSE),""))</f>
        <v/>
      </c>
      <c r="E235" s="7"/>
      <c r="F235" s="8"/>
      <c r="G235" s="13"/>
    </row>
    <row r="236" spans="1:7">
      <c r="A236" s="12"/>
      <c r="B236" s="13"/>
      <c r="C236" s="13"/>
      <c r="D236" s="8" t="str">
        <f>IF(C236="","",IFERROR(VLOOKUP(C236,SOWTasks[[ID]:[Task / Scope Description]],3,FALSE),""))</f>
        <v/>
      </c>
      <c r="E236" s="7"/>
      <c r="F236" s="8"/>
      <c r="G236" s="13"/>
    </row>
    <row r="237" spans="1:7">
      <c r="A237" s="12"/>
      <c r="B237" s="13"/>
      <c r="C237" s="13"/>
      <c r="D237" s="8" t="str">
        <f>IF(C237="","",IFERROR(VLOOKUP(C237,SOWTasks[[ID]:[Task / Scope Description]],3,FALSE),""))</f>
        <v/>
      </c>
      <c r="E237" s="7"/>
      <c r="F237" s="8"/>
      <c r="G237" s="13"/>
    </row>
    <row r="238" spans="1:7">
      <c r="A238" s="12"/>
      <c r="B238" s="13"/>
      <c r="C238" s="13"/>
      <c r="D238" s="8" t="str">
        <f>IF(C238="","",IFERROR(VLOOKUP(C238,SOWTasks[[ID]:[Task / Scope Description]],3,FALSE),""))</f>
        <v/>
      </c>
      <c r="E238" s="7"/>
      <c r="F238" s="8"/>
      <c r="G238" s="13"/>
    </row>
    <row r="239" spans="1:7">
      <c r="A239" s="12"/>
      <c r="B239" s="13"/>
      <c r="C239" s="13"/>
      <c r="D239" s="8" t="str">
        <f>IF(C239="","",IFERROR(VLOOKUP(C239,SOWTasks[[ID]:[Task / Scope Description]],3,FALSE),""))</f>
        <v/>
      </c>
      <c r="E239" s="7"/>
      <c r="F239" s="8"/>
      <c r="G239" s="13"/>
    </row>
    <row r="240" spans="1:7">
      <c r="A240" s="12"/>
      <c r="B240" s="13"/>
      <c r="C240" s="13"/>
      <c r="D240" s="8" t="str">
        <f>IF(C240="","",IFERROR(VLOOKUP(C240,SOWTasks[[ID]:[Task / Scope Description]],3,FALSE),""))</f>
        <v/>
      </c>
      <c r="E240" s="7"/>
      <c r="F240" s="8"/>
      <c r="G240" s="13"/>
    </row>
    <row r="241" spans="1:7">
      <c r="A241" s="12"/>
      <c r="B241" s="13"/>
      <c r="C241" s="13"/>
      <c r="D241" s="8" t="str">
        <f>IF(C241="","",IFERROR(VLOOKUP(C241,SOWTasks[[ID]:[Task / Scope Description]],3,FALSE),""))</f>
        <v/>
      </c>
      <c r="E241" s="7"/>
      <c r="F241" s="8"/>
      <c r="G241" s="13"/>
    </row>
    <row r="242" spans="1:7">
      <c r="A242" s="12"/>
      <c r="B242" s="13"/>
      <c r="C242" s="13"/>
      <c r="D242" s="8" t="str">
        <f>IF(C242="","",IFERROR(VLOOKUP(C242,SOWTasks[[ID]:[Task / Scope Description]],3,FALSE),""))</f>
        <v/>
      </c>
      <c r="E242" s="7"/>
      <c r="F242" s="8"/>
      <c r="G242" s="13"/>
    </row>
    <row r="243" spans="1:7">
      <c r="A243" s="12"/>
      <c r="B243" s="13"/>
      <c r="C243" s="13"/>
      <c r="D243" s="8" t="str">
        <f>IF(C243="","",IFERROR(VLOOKUP(C243,SOWTasks[[ID]:[Task / Scope Description]],3,FALSE),""))</f>
        <v/>
      </c>
      <c r="E243" s="7"/>
      <c r="F243" s="8"/>
      <c r="G243" s="13"/>
    </row>
    <row r="244" spans="1:7">
      <c r="A244" s="12"/>
      <c r="B244" s="13"/>
      <c r="C244" s="13"/>
      <c r="D244" s="8" t="str">
        <f>IF(C244="","",IFERROR(VLOOKUP(C244,SOWTasks[[ID]:[Task / Scope Description]],3,FALSE),""))</f>
        <v/>
      </c>
      <c r="E244" s="7"/>
      <c r="F244" s="8"/>
      <c r="G244" s="13"/>
    </row>
    <row r="245" spans="1:7">
      <c r="A245" s="12"/>
      <c r="B245" s="13"/>
      <c r="C245" s="13"/>
      <c r="D245" s="8" t="str">
        <f>IF(C245="","",IFERROR(VLOOKUP(C245,SOWTasks[[ID]:[Task / Scope Description]],3,FALSE),""))</f>
        <v/>
      </c>
      <c r="E245" s="7"/>
      <c r="F245" s="8"/>
      <c r="G245" s="13"/>
    </row>
    <row r="246" spans="1:7">
      <c r="A246" s="12"/>
      <c r="B246" s="13"/>
      <c r="C246" s="13"/>
      <c r="D246" s="8" t="str">
        <f>IF(C246="","",IFERROR(VLOOKUP(C246,SOWTasks[[ID]:[Task / Scope Description]],3,FALSE),""))</f>
        <v/>
      </c>
      <c r="E246" s="7"/>
      <c r="F246" s="8"/>
      <c r="G246" s="13"/>
    </row>
    <row r="247" spans="1:7">
      <c r="A247" s="12"/>
      <c r="B247" s="13"/>
      <c r="C247" s="13"/>
      <c r="D247" s="8" t="str">
        <f>IF(C247="","",IFERROR(VLOOKUP(C247,SOWTasks[[ID]:[Task / Scope Description]],3,FALSE),""))</f>
        <v/>
      </c>
      <c r="E247" s="7"/>
      <c r="F247" s="8"/>
      <c r="G247" s="13"/>
    </row>
    <row r="248" spans="1:7">
      <c r="A248" s="12"/>
      <c r="B248" s="13"/>
      <c r="C248" s="13"/>
      <c r="D248" s="8" t="str">
        <f>IF(C248="","",IFERROR(VLOOKUP(C248,SOWTasks[[ID]:[Task / Scope Description]],3,FALSE),""))</f>
        <v/>
      </c>
      <c r="E248" s="7"/>
      <c r="F248" s="8"/>
      <c r="G248" s="13"/>
    </row>
    <row r="249" spans="1:7">
      <c r="A249" s="12"/>
      <c r="B249" s="13"/>
      <c r="C249" s="13"/>
      <c r="D249" s="8" t="str">
        <f>IF(C249="","",IFERROR(VLOOKUP(C249,SOWTasks[[ID]:[Task / Scope Description]],3,FALSE),""))</f>
        <v/>
      </c>
      <c r="E249" s="7"/>
      <c r="F249" s="8"/>
      <c r="G249" s="13"/>
    </row>
    <row r="250" spans="1:7">
      <c r="A250" s="12"/>
      <c r="B250" s="13"/>
      <c r="C250" s="13"/>
      <c r="D250" s="8" t="str">
        <f>IF(C250="","",IFERROR(VLOOKUP(C250,SOWTasks[[ID]:[Task / Scope Description]],3,FALSE),""))</f>
        <v/>
      </c>
      <c r="E250" s="7"/>
      <c r="F250" s="8"/>
      <c r="G250" s="13"/>
    </row>
    <row r="251" spans="1:7">
      <c r="A251" s="12"/>
      <c r="B251" s="13"/>
      <c r="C251" s="13"/>
      <c r="D251" s="8" t="str">
        <f>IF(C251="","",IFERROR(VLOOKUP(C251,SOWTasks[[ID]:[Task / Scope Description]],3,FALSE),""))</f>
        <v/>
      </c>
      <c r="E251" s="7"/>
      <c r="F251" s="8"/>
      <c r="G251" s="13"/>
    </row>
    <row r="252" spans="1:7">
      <c r="A252" s="12"/>
      <c r="B252" s="13"/>
      <c r="C252" s="13"/>
      <c r="D252" s="8" t="str">
        <f>IF(C252="","",IFERROR(VLOOKUP(C252,SOWTasks[[ID]:[Task / Scope Description]],3,FALSE),""))</f>
        <v/>
      </c>
      <c r="E252" s="7"/>
      <c r="F252" s="8"/>
      <c r="G252" s="13"/>
    </row>
    <row r="253" spans="1:7">
      <c r="A253" s="12"/>
      <c r="B253" s="13"/>
      <c r="C253" s="13"/>
      <c r="D253" s="8" t="str">
        <f>IF(C253="","",IFERROR(VLOOKUP(C253,SOWTasks[[ID]:[Task / Scope Description]],3,FALSE),""))</f>
        <v/>
      </c>
      <c r="E253" s="7"/>
      <c r="F253" s="8"/>
      <c r="G253" s="13"/>
    </row>
    <row r="254" spans="1:7">
      <c r="A254" s="12"/>
      <c r="B254" s="13"/>
      <c r="C254" s="13"/>
      <c r="D254" s="8" t="str">
        <f>IF(C254="","",IFERROR(VLOOKUP(C254,SOWTasks[[ID]:[Task / Scope Description]],3,FALSE),""))</f>
        <v/>
      </c>
      <c r="E254" s="7"/>
      <c r="F254" s="8"/>
      <c r="G254" s="13"/>
    </row>
    <row r="255" spans="1:7">
      <c r="A255" s="12"/>
      <c r="B255" s="13"/>
      <c r="C255" s="13"/>
      <c r="D255" s="8" t="str">
        <f>IF(C255="","",IFERROR(VLOOKUP(C255,SOWTasks[[ID]:[Task / Scope Description]],3,FALSE),""))</f>
        <v/>
      </c>
      <c r="E255" s="7"/>
      <c r="F255" s="8"/>
      <c r="G255" s="13"/>
    </row>
    <row r="256" spans="1:7">
      <c r="A256" s="12"/>
      <c r="B256" s="13"/>
      <c r="C256" s="13"/>
      <c r="D256" s="8" t="str">
        <f>IF(C256="","",IFERROR(VLOOKUP(C256,SOWTasks[[ID]:[Task / Scope Description]],3,FALSE),""))</f>
        <v/>
      </c>
      <c r="E256" s="7"/>
      <c r="F256" s="8"/>
      <c r="G256" s="13"/>
    </row>
    <row r="257" spans="1:7">
      <c r="A257" s="12"/>
      <c r="B257" s="13"/>
      <c r="C257" s="13"/>
      <c r="D257" s="8" t="str">
        <f>IF(C257="","",IFERROR(VLOOKUP(C257,SOWTasks[[ID]:[Task / Scope Description]],3,FALSE),""))</f>
        <v/>
      </c>
      <c r="E257" s="7"/>
      <c r="F257" s="8"/>
      <c r="G257" s="13"/>
    </row>
    <row r="258" spans="1:7">
      <c r="A258" s="12"/>
      <c r="B258" s="13"/>
      <c r="C258" s="13"/>
      <c r="D258" s="8" t="str">
        <f>IF(C258="","",IFERROR(VLOOKUP(C258,SOWTasks[[ID]:[Task / Scope Description]],3,FALSE),""))</f>
        <v/>
      </c>
      <c r="E258" s="7"/>
      <c r="F258" s="8"/>
      <c r="G258" s="13"/>
    </row>
    <row r="259" spans="1:7">
      <c r="A259" s="12"/>
      <c r="B259" s="13"/>
      <c r="C259" s="13"/>
      <c r="D259" s="8" t="str">
        <f>IF(C259="","",IFERROR(VLOOKUP(C259,SOWTasks[[ID]:[Task / Scope Description]],3,FALSE),""))</f>
        <v/>
      </c>
      <c r="E259" s="7"/>
      <c r="F259" s="8"/>
      <c r="G259" s="13"/>
    </row>
    <row r="260" spans="1:7">
      <c r="A260" s="12"/>
      <c r="B260" s="13"/>
      <c r="C260" s="13"/>
      <c r="D260" s="8" t="str">
        <f>IF(C260="","",IFERROR(VLOOKUP(C260,SOWTasks[[ID]:[Task / Scope Description]],3,FALSE),""))</f>
        <v/>
      </c>
      <c r="E260" s="7"/>
      <c r="F260" s="8"/>
      <c r="G260" s="13"/>
    </row>
    <row r="261" spans="1:7">
      <c r="A261" s="12"/>
      <c r="B261" s="13"/>
      <c r="C261" s="13"/>
      <c r="D261" s="8" t="str">
        <f>IF(C261="","",IFERROR(VLOOKUP(C261,SOWTasks[[ID]:[Task / Scope Description]],3,FALSE),""))</f>
        <v/>
      </c>
      <c r="E261" s="7"/>
      <c r="F261" s="8"/>
      <c r="G261" s="13"/>
    </row>
    <row r="262" spans="1:7">
      <c r="A262" s="12"/>
      <c r="B262" s="13"/>
      <c r="C262" s="13"/>
      <c r="D262" s="8" t="str">
        <f>IF(C262="","",IFERROR(VLOOKUP(C262,SOWTasks[[ID]:[Task / Scope Description]],3,FALSE),""))</f>
        <v/>
      </c>
      <c r="E262" s="7"/>
      <c r="F262" s="8"/>
      <c r="G262" s="13"/>
    </row>
    <row r="263" spans="1:7">
      <c r="A263" s="12"/>
      <c r="B263" s="13"/>
      <c r="C263" s="13"/>
      <c r="D263" s="8" t="str">
        <f>IF(C263="","",IFERROR(VLOOKUP(C263,SOWTasks[[ID]:[Task / Scope Description]],3,FALSE),""))</f>
        <v/>
      </c>
      <c r="E263" s="7"/>
      <c r="F263" s="8"/>
      <c r="G263" s="13"/>
    </row>
    <row r="264" spans="1:7">
      <c r="A264" s="12"/>
      <c r="B264" s="13"/>
      <c r="C264" s="13"/>
      <c r="D264" s="8" t="str">
        <f>IF(C264="","",IFERROR(VLOOKUP(C264,SOWTasks[[ID]:[Task / Scope Description]],3,FALSE),""))</f>
        <v/>
      </c>
      <c r="E264" s="7"/>
      <c r="F264" s="8"/>
      <c r="G264" s="13"/>
    </row>
    <row r="265" spans="1:7">
      <c r="A265" s="12"/>
      <c r="B265" s="13"/>
      <c r="C265" s="13"/>
      <c r="D265" s="8" t="str">
        <f>IF(C265="","",IFERROR(VLOOKUP(C265,SOWTasks[[ID]:[Task / Scope Description]],3,FALSE),""))</f>
        <v/>
      </c>
      <c r="E265" s="7"/>
      <c r="F265" s="8"/>
      <c r="G265" s="13"/>
    </row>
    <row r="266" spans="1:7">
      <c r="A266" s="12"/>
      <c r="B266" s="13"/>
      <c r="C266" s="13"/>
      <c r="D266" s="8" t="str">
        <f>IF(C266="","",IFERROR(VLOOKUP(C266,SOWTasks[[ID]:[Task / Scope Description]],3,FALSE),""))</f>
        <v/>
      </c>
      <c r="E266" s="7"/>
      <c r="F266" s="8"/>
      <c r="G266" s="13"/>
    </row>
    <row r="267" spans="1:7">
      <c r="A267" s="12"/>
      <c r="B267" s="13"/>
      <c r="C267" s="13"/>
      <c r="D267" s="8" t="str">
        <f>IF(C267="","",IFERROR(VLOOKUP(C267,SOWTasks[[ID]:[Task / Scope Description]],3,FALSE),""))</f>
        <v/>
      </c>
      <c r="E267" s="7"/>
      <c r="F267" s="8"/>
      <c r="G267" s="13"/>
    </row>
    <row r="268" spans="1:7">
      <c r="A268" s="12"/>
      <c r="B268" s="13"/>
      <c r="C268" s="13"/>
      <c r="D268" s="8" t="str">
        <f>IF(C268="","",IFERROR(VLOOKUP(C268,SOWTasks[[ID]:[Task / Scope Description]],3,FALSE),""))</f>
        <v/>
      </c>
      <c r="E268" s="7"/>
      <c r="F268" s="8"/>
      <c r="G268" s="13"/>
    </row>
    <row r="269" spans="1:7">
      <c r="A269" s="12"/>
      <c r="B269" s="13"/>
      <c r="C269" s="13"/>
      <c r="D269" s="8" t="str">
        <f>IF(C269="","",IFERROR(VLOOKUP(C269,SOWTasks[[ID]:[Task / Scope Description]],3,FALSE),""))</f>
        <v/>
      </c>
      <c r="E269" s="7"/>
      <c r="F269" s="8"/>
      <c r="G269" s="13"/>
    </row>
    <row r="270" spans="1:7">
      <c r="A270" s="12"/>
      <c r="B270" s="13"/>
      <c r="C270" s="13"/>
      <c r="D270" s="8" t="str">
        <f>IF(C270="","",IFERROR(VLOOKUP(C270,SOWTasks[[ID]:[Task / Scope Description]],3,FALSE),""))</f>
        <v/>
      </c>
      <c r="E270" s="7"/>
      <c r="F270" s="8"/>
      <c r="G270" s="13"/>
    </row>
    <row r="271" spans="1:7">
      <c r="A271" s="12"/>
      <c r="B271" s="13"/>
      <c r="C271" s="13"/>
      <c r="D271" s="8" t="str">
        <f>IF(C271="","",IFERROR(VLOOKUP(C271,SOWTasks[[ID]:[Task / Scope Description]],3,FALSE),""))</f>
        <v/>
      </c>
      <c r="E271" s="7"/>
      <c r="F271" s="8"/>
      <c r="G271" s="13"/>
    </row>
    <row r="272" spans="1:7">
      <c r="A272" s="12"/>
      <c r="B272" s="13"/>
      <c r="C272" s="13"/>
      <c r="D272" s="8" t="str">
        <f>IF(C272="","",IFERROR(VLOOKUP(C272,SOWTasks[[ID]:[Task / Scope Description]],3,FALSE),""))</f>
        <v/>
      </c>
      <c r="E272" s="7"/>
      <c r="F272" s="8"/>
      <c r="G272" s="13"/>
    </row>
    <row r="273" spans="1:7">
      <c r="A273" s="12"/>
      <c r="B273" s="13"/>
      <c r="C273" s="13"/>
      <c r="D273" s="8" t="str">
        <f>IF(C273="","",IFERROR(VLOOKUP(C273,SOWTasks[[ID]:[Task / Scope Description]],3,FALSE),""))</f>
        <v/>
      </c>
      <c r="E273" s="7"/>
      <c r="F273" s="8"/>
      <c r="G273" s="13"/>
    </row>
    <row r="274" spans="1:7">
      <c r="A274" s="12"/>
      <c r="B274" s="13"/>
      <c r="C274" s="13"/>
      <c r="D274" s="8" t="str">
        <f>IF(C274="","",IFERROR(VLOOKUP(C274,SOWTasks[[ID]:[Task / Scope Description]],3,FALSE),""))</f>
        <v/>
      </c>
      <c r="E274" s="7"/>
      <c r="F274" s="8"/>
      <c r="G274" s="13"/>
    </row>
    <row r="275" spans="1:7">
      <c r="A275" s="12"/>
      <c r="B275" s="13"/>
      <c r="C275" s="13"/>
      <c r="D275" s="8" t="str">
        <f>IF(C275="","",IFERROR(VLOOKUP(C275,SOWTasks[[ID]:[Task / Scope Description]],3,FALSE),""))</f>
        <v/>
      </c>
      <c r="E275" s="7"/>
      <c r="F275" s="8"/>
      <c r="G275" s="13"/>
    </row>
    <row r="276" spans="1:7">
      <c r="A276" s="12"/>
      <c r="B276" s="13"/>
      <c r="C276" s="13"/>
      <c r="D276" s="8" t="str">
        <f>IF(C276="","",IFERROR(VLOOKUP(C276,SOWTasks[[ID]:[Task / Scope Description]],3,FALSE),""))</f>
        <v/>
      </c>
      <c r="E276" s="7"/>
      <c r="F276" s="8"/>
      <c r="G276" s="13"/>
    </row>
    <row r="277" spans="1:7">
      <c r="A277" s="12"/>
      <c r="B277" s="13"/>
      <c r="C277" s="13"/>
      <c r="D277" s="8" t="str">
        <f>IF(C277="","",IFERROR(VLOOKUP(C277,SOWTasks[[ID]:[Task / Scope Description]],3,FALSE),""))</f>
        <v/>
      </c>
      <c r="E277" s="7"/>
      <c r="F277" s="8"/>
      <c r="G277" s="13"/>
    </row>
    <row r="278" spans="1:7">
      <c r="A278" s="12"/>
      <c r="B278" s="13"/>
      <c r="C278" s="13"/>
      <c r="D278" s="8" t="str">
        <f>IF(C278="","",IFERROR(VLOOKUP(C278,SOWTasks[[ID]:[Task / Scope Description]],3,FALSE),""))</f>
        <v/>
      </c>
      <c r="E278" s="7"/>
      <c r="F278" s="8"/>
      <c r="G278" s="13"/>
    </row>
    <row r="279" spans="1:7">
      <c r="A279" s="12"/>
      <c r="B279" s="13"/>
      <c r="C279" s="13"/>
      <c r="D279" s="8" t="str">
        <f>IF(C279="","",IFERROR(VLOOKUP(C279,SOWTasks[[ID]:[Task / Scope Description]],3,FALSE),""))</f>
        <v/>
      </c>
      <c r="E279" s="7"/>
      <c r="F279" s="8"/>
      <c r="G279" s="13"/>
    </row>
    <row r="280" spans="1:7">
      <c r="A280" s="12"/>
      <c r="B280" s="13"/>
      <c r="C280" s="13"/>
      <c r="D280" s="8" t="str">
        <f>IF(C280="","",IFERROR(VLOOKUP(C280,SOWTasks[[ID]:[Task / Scope Description]],3,FALSE),""))</f>
        <v/>
      </c>
      <c r="E280" s="7"/>
      <c r="F280" s="8"/>
      <c r="G280" s="13"/>
    </row>
    <row r="281" spans="1:7">
      <c r="A281" s="12"/>
      <c r="B281" s="13"/>
      <c r="C281" s="13"/>
      <c r="D281" s="8" t="str">
        <f>IF(C281="","",IFERROR(VLOOKUP(C281,SOWTasks[[ID]:[Task / Scope Description]],3,FALSE),""))</f>
        <v/>
      </c>
      <c r="E281" s="7"/>
      <c r="F281" s="8"/>
      <c r="G281" s="13"/>
    </row>
    <row r="282" spans="1:7">
      <c r="A282" s="12"/>
      <c r="B282" s="13"/>
      <c r="C282" s="13"/>
      <c r="D282" s="8" t="str">
        <f>IF(C282="","",IFERROR(VLOOKUP(C282,SOWTasks[[ID]:[Task / Scope Description]],3,FALSE),""))</f>
        <v/>
      </c>
      <c r="E282" s="7"/>
      <c r="F282" s="8"/>
      <c r="G282" s="13"/>
    </row>
    <row r="283" spans="1:7">
      <c r="A283" s="12"/>
      <c r="B283" s="13"/>
      <c r="C283" s="13"/>
      <c r="D283" s="8" t="str">
        <f>IF(C283="","",IFERROR(VLOOKUP(C283,SOWTasks[[ID]:[Task / Scope Description]],3,FALSE),""))</f>
        <v/>
      </c>
      <c r="E283" s="7"/>
      <c r="F283" s="8"/>
      <c r="G283" s="13"/>
    </row>
    <row r="284" spans="1:7">
      <c r="A284" s="12"/>
      <c r="B284" s="13"/>
      <c r="C284" s="13"/>
      <c r="D284" s="8" t="str">
        <f>IF(C284="","",IFERROR(VLOOKUP(C284,SOWTasks[[ID]:[Task / Scope Description]],3,FALSE),""))</f>
        <v/>
      </c>
      <c r="E284" s="7"/>
      <c r="F284" s="8"/>
      <c r="G284" s="13"/>
    </row>
    <row r="285" spans="1:7">
      <c r="A285" s="12"/>
      <c r="B285" s="13"/>
      <c r="C285" s="13"/>
      <c r="D285" s="8" t="str">
        <f>IF(C285="","",IFERROR(VLOOKUP(C285,SOWTasks[[ID]:[Task / Scope Description]],3,FALSE),""))</f>
        <v/>
      </c>
      <c r="E285" s="7"/>
      <c r="F285" s="8"/>
      <c r="G285" s="13"/>
    </row>
    <row r="286" spans="1:7">
      <c r="A286" s="12"/>
      <c r="B286" s="13"/>
      <c r="C286" s="13"/>
      <c r="D286" s="8" t="str">
        <f>IF(C286="","",IFERROR(VLOOKUP(C286,SOWTasks[[ID]:[Task / Scope Description]],3,FALSE),""))</f>
        <v/>
      </c>
      <c r="E286" s="7"/>
      <c r="F286" s="8"/>
      <c r="G286" s="13"/>
    </row>
    <row r="287" spans="1:7">
      <c r="A287" s="12"/>
      <c r="B287" s="13"/>
      <c r="C287" s="13"/>
      <c r="D287" s="8" t="str">
        <f>IF(C287="","",IFERROR(VLOOKUP(C287,SOWTasks[[ID]:[Task / Scope Description]],3,FALSE),""))</f>
        <v/>
      </c>
      <c r="E287" s="7"/>
      <c r="F287" s="8"/>
      <c r="G287" s="13"/>
    </row>
    <row r="288" spans="1:7">
      <c r="A288" s="12"/>
      <c r="B288" s="13"/>
      <c r="C288" s="13"/>
      <c r="D288" s="8" t="str">
        <f>IF(C288="","",IFERROR(VLOOKUP(C288,SOWTasks[[ID]:[Task / Scope Description]],3,FALSE),""))</f>
        <v/>
      </c>
      <c r="E288" s="7"/>
      <c r="F288" s="8"/>
      <c r="G288" s="13"/>
    </row>
    <row r="289" spans="1:7">
      <c r="A289" s="12"/>
      <c r="B289" s="13"/>
      <c r="C289" s="13"/>
      <c r="D289" s="8" t="str">
        <f>IF(C289="","",IFERROR(VLOOKUP(C289,SOWTasks[[ID]:[Task / Scope Description]],3,FALSE),""))</f>
        <v/>
      </c>
      <c r="E289" s="7"/>
      <c r="F289" s="8"/>
      <c r="G289" s="13"/>
    </row>
    <row r="290" spans="1:7">
      <c r="A290" s="12"/>
      <c r="B290" s="13"/>
      <c r="C290" s="13"/>
      <c r="D290" s="8" t="str">
        <f>IF(C290="","",IFERROR(VLOOKUP(C290,SOWTasks[[ID]:[Task / Scope Description]],3,FALSE),""))</f>
        <v/>
      </c>
      <c r="E290" s="7"/>
      <c r="F290" s="8"/>
      <c r="G290" s="13"/>
    </row>
    <row r="291" spans="1:7">
      <c r="A291" s="12"/>
      <c r="B291" s="13"/>
      <c r="C291" s="13"/>
      <c r="D291" s="8" t="str">
        <f>IF(C291="","",IFERROR(VLOOKUP(C291,SOWTasks[[ID]:[Task / Scope Description]],3,FALSE),""))</f>
        <v/>
      </c>
      <c r="E291" s="7"/>
      <c r="F291" s="8"/>
      <c r="G291" s="13"/>
    </row>
    <row r="292" spans="1:7">
      <c r="A292" s="12"/>
      <c r="B292" s="13"/>
      <c r="C292" s="13"/>
      <c r="D292" s="8" t="str">
        <f>IF(C292="","",IFERROR(VLOOKUP(C292,SOWTasks[[ID]:[Task / Scope Description]],3,FALSE),""))</f>
        <v/>
      </c>
      <c r="E292" s="7"/>
      <c r="F292" s="8"/>
      <c r="G292" s="13"/>
    </row>
    <row r="293" spans="1:7">
      <c r="A293" s="12"/>
      <c r="B293" s="13"/>
      <c r="C293" s="13"/>
      <c r="D293" s="8" t="str">
        <f>IF(C293="","",IFERROR(VLOOKUP(C293,SOWTasks[[ID]:[Task / Scope Description]],3,FALSE),""))</f>
        <v/>
      </c>
      <c r="E293" s="7"/>
      <c r="F293" s="8"/>
      <c r="G293" s="13"/>
    </row>
    <row r="294" spans="1:7">
      <c r="A294" s="12"/>
      <c r="B294" s="13"/>
      <c r="C294" s="13"/>
      <c r="D294" s="8" t="str">
        <f>IF(C294="","",IFERROR(VLOOKUP(C294,SOWTasks[[ID]:[Task / Scope Description]],3,FALSE),""))</f>
        <v/>
      </c>
      <c r="E294" s="7"/>
      <c r="F294" s="8"/>
      <c r="G294" s="13"/>
    </row>
    <row r="295" spans="1:7">
      <c r="A295" s="12"/>
      <c r="B295" s="13"/>
      <c r="C295" s="13"/>
      <c r="D295" s="8" t="str">
        <f>IF(C295="","",IFERROR(VLOOKUP(C295,SOWTasks[[ID]:[Task / Scope Description]],3,FALSE),""))</f>
        <v/>
      </c>
      <c r="E295" s="7"/>
      <c r="F295" s="8"/>
      <c r="G295" s="13"/>
    </row>
    <row r="296" spans="1:7">
      <c r="A296" s="12"/>
      <c r="B296" s="13"/>
      <c r="C296" s="13"/>
      <c r="D296" s="8" t="str">
        <f>IF(C296="","",IFERROR(VLOOKUP(C296,SOWTasks[[ID]:[Task / Scope Description]],3,FALSE),""))</f>
        <v/>
      </c>
      <c r="E296" s="7"/>
      <c r="F296" s="8"/>
      <c r="G296" s="13"/>
    </row>
    <row r="297" spans="1:7">
      <c r="A297" s="12"/>
      <c r="B297" s="13"/>
      <c r="C297" s="13"/>
      <c r="D297" s="8" t="str">
        <f>IF(C297="","",IFERROR(VLOOKUP(C297,SOWTasks[[ID]:[Task / Scope Description]],3,FALSE),""))</f>
        <v/>
      </c>
      <c r="E297" s="7"/>
      <c r="F297" s="8"/>
      <c r="G297" s="13"/>
    </row>
    <row r="298" spans="1:7">
      <c r="A298" s="12"/>
      <c r="B298" s="13"/>
      <c r="C298" s="13"/>
      <c r="D298" s="8" t="str">
        <f>IF(C298="","",IFERROR(VLOOKUP(C298,SOWTasks[[ID]:[Task / Scope Description]],3,FALSE),""))</f>
        <v/>
      </c>
      <c r="E298" s="7"/>
      <c r="F298" s="8"/>
      <c r="G298" s="13"/>
    </row>
    <row r="299" spans="1:7">
      <c r="A299" s="12"/>
      <c r="B299" s="13"/>
      <c r="C299" s="13"/>
      <c r="D299" s="8" t="str">
        <f>IF(C299="","",IFERROR(VLOOKUP(C299,SOWTasks[[ID]:[Task / Scope Description]],3,FALSE),""))</f>
        <v/>
      </c>
      <c r="E299" s="7"/>
      <c r="F299" s="8"/>
      <c r="G299" s="13"/>
    </row>
    <row r="300" spans="1:7">
      <c r="A300" s="12"/>
      <c r="B300" s="13"/>
      <c r="C300" s="13"/>
      <c r="D300" s="8" t="str">
        <f>IF(C300="","",IFERROR(VLOOKUP(C300,SOWTasks[[ID]:[Task / Scope Description]],3,FALSE),""))</f>
        <v/>
      </c>
      <c r="E300" s="7"/>
      <c r="F300" s="8"/>
      <c r="G300" s="13"/>
    </row>
    <row r="301" spans="1:7">
      <c r="A301" s="12"/>
      <c r="B301" s="13"/>
      <c r="C301" s="13"/>
      <c r="D301" s="8" t="str">
        <f>IF(C301="","",IFERROR(VLOOKUP(C301,SOWTasks[[ID]:[Task / Scope Description]],3,FALSE),""))</f>
        <v/>
      </c>
      <c r="E301" s="7"/>
      <c r="F301" s="8"/>
      <c r="G301" s="13"/>
    </row>
    <row r="302" spans="1:7">
      <c r="A302" s="12"/>
      <c r="B302" s="13"/>
      <c r="C302" s="13"/>
      <c r="D302" s="8" t="str">
        <f>IF(C302="","",IFERROR(VLOOKUP(C302,SOWTasks[[ID]:[Task / Scope Description]],3,FALSE),""))</f>
        <v/>
      </c>
      <c r="E302" s="7"/>
      <c r="F302" s="8"/>
      <c r="G302" s="13"/>
    </row>
    <row r="303" spans="1:7">
      <c r="A303" s="12"/>
      <c r="B303" s="13"/>
      <c r="C303" s="13"/>
      <c r="D303" s="8" t="str">
        <f>IF(C303="","",IFERROR(VLOOKUP(C303,SOWTasks[[ID]:[Task / Scope Description]],3,FALSE),""))</f>
        <v/>
      </c>
      <c r="E303" s="7"/>
      <c r="F303" s="8"/>
      <c r="G303" s="13"/>
    </row>
    <row r="304" spans="1:7">
      <c r="A304" s="12"/>
      <c r="B304" s="13"/>
      <c r="C304" s="13"/>
      <c r="D304" s="8" t="str">
        <f>IF(C304="","",IFERROR(VLOOKUP(C304,SOWTasks[[ID]:[Task / Scope Description]],3,FALSE),""))</f>
        <v/>
      </c>
      <c r="E304" s="7"/>
      <c r="F304" s="8"/>
      <c r="G304" s="13"/>
    </row>
    <row r="305" spans="1:7">
      <c r="A305" s="12"/>
      <c r="B305" s="13"/>
      <c r="C305" s="13"/>
      <c r="D305" s="8" t="str">
        <f>IF(C305="","",IFERROR(VLOOKUP(C305,SOWTasks[[ID]:[Task / Scope Description]],3,FALSE),""))</f>
        <v/>
      </c>
      <c r="E305" s="7"/>
      <c r="F305" s="8"/>
      <c r="G305" s="13"/>
    </row>
    <row r="306" spans="1:7">
      <c r="A306" s="12"/>
      <c r="B306" s="13"/>
      <c r="C306" s="13"/>
      <c r="D306" s="8" t="str">
        <f>IF(C306="","",IFERROR(VLOOKUP(C306,SOWTasks[[ID]:[Task / Scope Description]],3,FALSE),""))</f>
        <v/>
      </c>
      <c r="E306" s="7"/>
      <c r="F306" s="8"/>
      <c r="G306" s="13"/>
    </row>
  </sheetData>
  <mergeCells count="3">
    <mergeCell ref="D2:G2"/>
    <mergeCell ref="D1:G1"/>
    <mergeCell ref="D3:G3"/>
  </mergeCells>
  <dataValidations xWindow="208" yWindow="477" count="1">
    <dataValidation type="date" allowBlank="1" showInputMessage="1" showErrorMessage="1" errorTitle="Invalid Date" error="Please enter a valid date. Format: dd/mm/yyyy" promptTitle="Enter Date" prompt="Enter a date in dd/mm/yyyy format (e.g., 15/06/2025)" sqref="A7:A100" xr:uid="{00000000-0002-0000-0200-000000000000}">
      <formula1>DATE(1900,1,1)</formula1>
      <formula2>DATE(2100,12,31)</formula2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showGridLines="0" workbookViewId="0">
      <selection activeCell="Q17" sqref="Q17"/>
    </sheetView>
  </sheetViews>
  <sheetFormatPr defaultRowHeight="14.45"/>
  <cols>
    <col min="1" max="1" width="20" customWidth="1"/>
    <col min="2" max="2" width="10" customWidth="1"/>
  </cols>
  <sheetData>
    <row r="1" spans="1:14" ht="33.950000000000003" customHeight="1">
      <c r="C1" s="40" t="s">
        <v>127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20.100000000000001" customHeight="1">
      <c r="C2" s="39" t="s">
        <v>128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6" customHeight="1">
      <c r="C3" s="41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5" spans="1:14">
      <c r="A5" s="45" t="s">
        <v>129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7" spans="1:14">
      <c r="A7" s="43" t="s">
        <v>130</v>
      </c>
      <c r="B7" s="54"/>
      <c r="C7" s="54"/>
      <c r="D7" s="55"/>
      <c r="F7" s="43" t="s">
        <v>37</v>
      </c>
      <c r="G7" s="54"/>
      <c r="H7" s="54"/>
      <c r="I7" s="55"/>
      <c r="K7" s="43" t="s">
        <v>44</v>
      </c>
      <c r="L7" s="54"/>
      <c r="M7" s="54"/>
      <c r="N7" s="55"/>
    </row>
    <row r="8" spans="1:14">
      <c r="A8" s="42">
        <f>COUNT('SOW Tasks'!A14:A212)</f>
        <v>11</v>
      </c>
      <c r="B8" s="48"/>
      <c r="C8" s="48"/>
      <c r="D8" s="49"/>
      <c r="F8" s="42">
        <f>COUNTIF('SOW Tasks'!I14:I212,"Complete")</f>
        <v>4</v>
      </c>
      <c r="G8" s="48"/>
      <c r="H8" s="48"/>
      <c r="I8" s="49"/>
      <c r="K8" s="42">
        <f>COUNTIF('SOW Tasks'!I14:I212,"In Progress")</f>
        <v>4</v>
      </c>
      <c r="L8" s="48"/>
      <c r="M8" s="48"/>
      <c r="N8" s="49"/>
    </row>
    <row r="9" spans="1:14">
      <c r="A9" s="52"/>
      <c r="B9" s="47"/>
      <c r="C9" s="47"/>
      <c r="D9" s="53"/>
      <c r="F9" s="52"/>
      <c r="G9" s="47"/>
      <c r="H9" s="47"/>
      <c r="I9" s="53"/>
      <c r="K9" s="52"/>
      <c r="L9" s="47"/>
      <c r="M9" s="47"/>
      <c r="N9" s="53"/>
    </row>
    <row r="11" spans="1:14">
      <c r="A11" s="43" t="s">
        <v>131</v>
      </c>
      <c r="B11" s="54"/>
      <c r="C11" s="54"/>
      <c r="D11" s="55"/>
      <c r="F11" s="43" t="s">
        <v>27</v>
      </c>
      <c r="G11" s="54"/>
      <c r="H11" s="54"/>
      <c r="I11" s="55"/>
      <c r="K11" s="43" t="s">
        <v>132</v>
      </c>
      <c r="L11" s="54"/>
      <c r="M11" s="54"/>
      <c r="N11" s="55"/>
    </row>
    <row r="12" spans="1:14">
      <c r="A12" s="42">
        <f>COUNTIF('SOW Tasks'!I14:I212,"Blocked")+COUNTIF('SOW Tasks'!I14:I212,"On Hold")</f>
        <v>1</v>
      </c>
      <c r="B12" s="48"/>
      <c r="C12" s="48"/>
      <c r="D12" s="49"/>
      <c r="F12" s="42">
        <f ca="1">COUNTIF('SOW Tasks'!M14:M212,"YES")</f>
        <v>0</v>
      </c>
      <c r="G12" s="48"/>
      <c r="H12" s="48"/>
      <c r="I12" s="49"/>
      <c r="K12" s="44">
        <f>IFERROR(AVERAGEIF('SOW Tasks'!A14:A212,"&gt;0",'SOW Tasks'!J14:J212),0)</f>
        <v>54.545454545454547</v>
      </c>
      <c r="L12" s="48"/>
      <c r="M12" s="48"/>
      <c r="N12" s="49"/>
    </row>
    <row r="13" spans="1:14">
      <c r="A13" s="52"/>
      <c r="B13" s="47"/>
      <c r="C13" s="47"/>
      <c r="D13" s="53"/>
      <c r="F13" s="52"/>
      <c r="G13" s="47"/>
      <c r="H13" s="47"/>
      <c r="I13" s="53"/>
      <c r="K13" s="52"/>
      <c r="L13" s="47"/>
      <c r="M13" s="47"/>
      <c r="N13" s="53"/>
    </row>
    <row r="16" spans="1:14">
      <c r="A16" s="14" t="s">
        <v>23</v>
      </c>
      <c r="B16" s="14" t="s">
        <v>133</v>
      </c>
    </row>
    <row r="17" spans="1:2">
      <c r="A17" s="15" t="s">
        <v>95</v>
      </c>
      <c r="B17" s="13">
        <f>COUNTIF('SOW Tasks'!I14:I212,"Not Started")</f>
        <v>2</v>
      </c>
    </row>
    <row r="18" spans="1:2">
      <c r="A18" s="15" t="s">
        <v>44</v>
      </c>
      <c r="B18" s="13">
        <f>COUNTIF('SOW Tasks'!I14:I212,"In Progress")</f>
        <v>4</v>
      </c>
    </row>
    <row r="19" spans="1:2">
      <c r="A19" s="15" t="s">
        <v>37</v>
      </c>
      <c r="B19" s="13">
        <f>COUNTIF('SOW Tasks'!I14:I212,"Complete")</f>
        <v>4</v>
      </c>
    </row>
    <row r="20" spans="1:2">
      <c r="A20" s="15" t="s">
        <v>104</v>
      </c>
      <c r="B20" s="13">
        <f>COUNTIF('SOW Tasks'!I14:I212,"On Hold")</f>
        <v>0</v>
      </c>
    </row>
    <row r="21" spans="1:2">
      <c r="A21" s="15" t="s">
        <v>66</v>
      </c>
      <c r="B21" s="13">
        <f>COUNTIF('SOW Tasks'!I14:I212,"Blocked")</f>
        <v>1</v>
      </c>
    </row>
  </sheetData>
  <mergeCells count="16">
    <mergeCell ref="A12:D13"/>
    <mergeCell ref="F11:I11"/>
    <mergeCell ref="K11:N11"/>
    <mergeCell ref="F8:I9"/>
    <mergeCell ref="C3:N3"/>
    <mergeCell ref="A7:D7"/>
    <mergeCell ref="F12:I13"/>
    <mergeCell ref="K12:N13"/>
    <mergeCell ref="K7:N7"/>
    <mergeCell ref="A11:D11"/>
    <mergeCell ref="A5:N5"/>
    <mergeCell ref="C2:N2"/>
    <mergeCell ref="C1:N1"/>
    <mergeCell ref="A8:D9"/>
    <mergeCell ref="F7:I7"/>
    <mergeCell ref="K8:N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87a1a8-8edc-43a1-801b-b3dcc433e73e">
      <Terms xmlns="http://schemas.microsoft.com/office/infopath/2007/PartnerControls"/>
    </lcf76f155ced4ddcb4097134ff3c332f>
    <TaxCatchAll xmlns="6ca4e499-d24c-4f82-84d3-132ce4132e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3ED6BBE5FA543A97CCB3D0C1BBA88" ma:contentTypeVersion="12" ma:contentTypeDescription="Create a new document." ma:contentTypeScope="" ma:versionID="4ffd33bc74552a5d1191f25aeb33322b">
  <xsd:schema xmlns:xsd="http://www.w3.org/2001/XMLSchema" xmlns:xs="http://www.w3.org/2001/XMLSchema" xmlns:p="http://schemas.microsoft.com/office/2006/metadata/properties" xmlns:ns2="1b87a1a8-8edc-43a1-801b-b3dcc433e73e" xmlns:ns3="6ca4e499-d24c-4f82-84d3-132ce4132e61" targetNamespace="http://schemas.microsoft.com/office/2006/metadata/properties" ma:root="true" ma:fieldsID="695266eae7c75f456ad2818eb5e4eeb2" ns2:_="" ns3:_="">
    <xsd:import namespace="1b87a1a8-8edc-43a1-801b-b3dcc433e73e"/>
    <xsd:import namespace="6ca4e499-d24c-4f82-84d3-132ce4132e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7a1a8-8edc-43a1-801b-b3dcc433e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a304e39-dbc7-41da-8669-7c683e9a6e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4e499-d24c-4f82-84d3-132ce4132e6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ea815ec-6440-469c-831a-1734ad1e2877}" ma:internalName="TaxCatchAll" ma:showField="CatchAllData" ma:web="6ca4e499-d24c-4f82-84d3-132ce4132e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261183-A6E7-48AA-90AD-B0167C81748F}"/>
</file>

<file path=customXml/itemProps2.xml><?xml version="1.0" encoding="utf-8"?>
<ds:datastoreItem xmlns:ds="http://schemas.openxmlformats.org/officeDocument/2006/customXml" ds:itemID="{D928CD19-4484-42F7-919D-5A0BF9E163E5}"/>
</file>

<file path=customXml/itemProps3.xml><?xml version="1.0" encoding="utf-8"?>
<ds:datastoreItem xmlns:ds="http://schemas.openxmlformats.org/officeDocument/2006/customXml" ds:itemID="{9BEA16E1-4582-49CA-8CE3-740A319D4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 Hoogwerf</cp:lastModifiedBy>
  <cp:revision/>
  <dcterms:created xsi:type="dcterms:W3CDTF">2026-02-16T03:31:12Z</dcterms:created>
  <dcterms:modified xsi:type="dcterms:W3CDTF">2026-03-16T01:38:12Z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0x0101008B73ED6BBE5FA543A97CCB3D0C1BBA88</vt:lpwstr>
  </property>
  <property fmtid="{D5CDD505-2E9C-101B-9397-08002B2CF9AE}" pid="3" name="MediaServiceImageTags">
    <vt:lpwstr/>
  </property>
</Properties>
</file>